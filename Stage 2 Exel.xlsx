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/>
  <xr:revisionPtr revIDLastSave="0" documentId="11_9D72F63CB2588E03B8C92E015C3701A333BB3ED0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FX Hedge Model" sheetId="1" r:id="rId1"/>
    <sheet name="Blank Template" sheetId="2" r:id="rId2"/>
    <sheet name="Notes &amp; Assumptions" sheetId="3" r:id="rId3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8" i="1" l="1"/>
  <c r="B74" i="1"/>
  <c r="C78" i="1"/>
  <c r="B77" i="1"/>
  <c r="C77" i="1"/>
  <c r="B76" i="1"/>
  <c r="C76" i="1"/>
  <c r="B75" i="1"/>
  <c r="C75" i="1"/>
  <c r="A51" i="1"/>
  <c r="H51" i="1"/>
  <c r="G51" i="1"/>
  <c r="F51" i="1"/>
  <c r="E51" i="1"/>
  <c r="D51" i="1"/>
  <c r="C51" i="1"/>
  <c r="A50" i="1"/>
  <c r="H50" i="1"/>
  <c r="G50" i="1"/>
  <c r="F50" i="1"/>
  <c r="E50" i="1"/>
  <c r="D50" i="1"/>
  <c r="C50" i="1"/>
  <c r="A49" i="1"/>
  <c r="H49" i="1"/>
  <c r="G49" i="1"/>
  <c r="F49" i="1"/>
  <c r="E49" i="1"/>
  <c r="D49" i="1"/>
  <c r="C49" i="1"/>
  <c r="A48" i="1"/>
  <c r="H48" i="1"/>
  <c r="G48" i="1"/>
  <c r="F48" i="1"/>
  <c r="E48" i="1"/>
  <c r="D48" i="1"/>
  <c r="C48" i="1"/>
  <c r="A47" i="1"/>
  <c r="H47" i="1"/>
  <c r="G47" i="1"/>
  <c r="F47" i="1"/>
  <c r="E47" i="1"/>
  <c r="D47" i="1"/>
  <c r="C47" i="1"/>
  <c r="A46" i="1"/>
  <c r="H46" i="1"/>
  <c r="G46" i="1"/>
  <c r="F46" i="1"/>
  <c r="E46" i="1"/>
  <c r="D46" i="1"/>
  <c r="C46" i="1"/>
  <c r="A45" i="1"/>
  <c r="H45" i="1"/>
  <c r="G45" i="1"/>
  <c r="F45" i="1"/>
  <c r="E45" i="1"/>
  <c r="D45" i="1"/>
  <c r="C45" i="1"/>
  <c r="A44" i="1"/>
  <c r="H44" i="1"/>
  <c r="G44" i="1"/>
  <c r="F44" i="1"/>
  <c r="E44" i="1"/>
  <c r="D44" i="1"/>
  <c r="C44" i="1"/>
  <c r="A43" i="1"/>
  <c r="H43" i="1"/>
  <c r="G43" i="1"/>
  <c r="F43" i="1"/>
  <c r="E43" i="1"/>
  <c r="D43" i="1"/>
  <c r="C43" i="1"/>
  <c r="A42" i="1"/>
  <c r="H42" i="1"/>
  <c r="G42" i="1"/>
  <c r="F42" i="1"/>
  <c r="E42" i="1"/>
  <c r="D42" i="1"/>
  <c r="C42" i="1"/>
  <c r="A41" i="1"/>
  <c r="H41" i="1"/>
  <c r="G41" i="1"/>
  <c r="F41" i="1"/>
  <c r="E41" i="1"/>
  <c r="D41" i="1"/>
  <c r="C41" i="1"/>
  <c r="D33" i="1"/>
  <c r="D36" i="1"/>
  <c r="B33" i="1"/>
  <c r="B35" i="1"/>
  <c r="C33" i="1"/>
  <c r="C35" i="1"/>
  <c r="D35" i="1"/>
  <c r="B34" i="1"/>
  <c r="C34" i="1"/>
  <c r="D34" i="1"/>
  <c r="D37" i="1"/>
  <c r="C36" i="1"/>
  <c r="C37" i="1"/>
  <c r="B36" i="1"/>
  <c r="B37" i="1"/>
  <c r="C19" i="1"/>
  <c r="C20" i="1"/>
  <c r="C21" i="1"/>
  <c r="C25" i="1"/>
  <c r="C26" i="1"/>
  <c r="C27" i="1"/>
  <c r="C28" i="1"/>
  <c r="C29" i="1"/>
  <c r="D28" i="1"/>
  <c r="D27" i="1"/>
  <c r="D26" i="1"/>
  <c r="D25" i="1"/>
</calcChain>
</file>

<file path=xl/sharedStrings.xml><?xml version="1.0" encoding="utf-8"?>
<sst xmlns="http://schemas.openxmlformats.org/spreadsheetml/2006/main" count="248" uniqueCount="136">
  <si>
    <t>FX HEDGING MODEL — SCENARIO 4: U.S. AEROSPACE MANUFACTURER</t>
  </si>
  <si>
    <t>FIN 321 · Shidler College of Business · University of Hawaiʻi at Mānoa</t>
  </si>
  <si>
    <t>SECTION 1 — INPUTS  (Yellow = Editable)</t>
  </si>
  <si>
    <t>Variable</t>
  </si>
  <si>
    <t>Named Range</t>
  </si>
  <si>
    <t>Value</t>
  </si>
  <si>
    <t>Units / Notes</t>
  </si>
  <si>
    <t>Foreign Currency Amount</t>
  </si>
  <si>
    <t>FC_AMT</t>
  </si>
  <si>
    <t>EUR receivable</t>
  </si>
  <si>
    <t>Spot Rate (S₀)</t>
  </si>
  <si>
    <t>S0_in</t>
  </si>
  <si>
    <t>USD per EUR  |  Source: Yahoo Finance, Apr 3 2026</t>
  </si>
  <si>
    <t>1-Year Forward Rate (F₀)</t>
  </si>
  <si>
    <t>F0_in</t>
  </si>
  <si>
    <t>USD per EUR  |  Given in scenario</t>
  </si>
  <si>
    <t>USD 1-Year Interest Rate</t>
  </si>
  <si>
    <t>R_USD</t>
  </si>
  <si>
    <t>Annualised  |  Source: US 1-yr T-bill, Apr 3 2026</t>
  </si>
  <si>
    <t>EUR 1-Year Interest Rate</t>
  </si>
  <si>
    <t>R_FC</t>
  </si>
  <si>
    <t>Annualised  |  Source: ECB deposit rate est., Apr 3 2026</t>
  </si>
  <si>
    <t>Put Strike (K_PUT)</t>
  </si>
  <si>
    <t>K_PUT</t>
  </si>
  <si>
    <t>USD/EUR  |  Set at-the-money (spot)</t>
  </si>
  <si>
    <t>Call Strike (K_CALL)</t>
  </si>
  <si>
    <t>K_CALL</t>
  </si>
  <si>
    <t>Put Premium</t>
  </si>
  <si>
    <t>PREM_PUT</t>
  </si>
  <si>
    <t>Call Premium</t>
  </si>
  <si>
    <t>PREM_CALL</t>
  </si>
  <si>
    <t>Time Horizon</t>
  </si>
  <si>
    <t>T_DAYS</t>
  </si>
  <si>
    <t>Days (1 year)</t>
  </si>
  <si>
    <t>SECTION 2 — FORWARD HEDGE</t>
  </si>
  <si>
    <t>FC Receivable (EUR)</t>
  </si>
  <si>
    <t>← from Inputs</t>
  </si>
  <si>
    <t>Forward Rate (F₀)</t>
  </si>
  <si>
    <t>Locked-in USD Proceeds</t>
  </si>
  <si>
    <t>FC × F₀  (guaranteed receipt)</t>
  </si>
  <si>
    <t>SECTION 3 — MONEY MARKET HEDGE  (3-Step Logic)</t>
  </si>
  <si>
    <t>Step</t>
  </si>
  <si>
    <t>Action</t>
  </si>
  <si>
    <t>Formula</t>
  </si>
  <si>
    <t>Result (USD)</t>
  </si>
  <si>
    <t>Notes</t>
  </si>
  <si>
    <t>Step 1</t>
  </si>
  <si>
    <t>Borrow PV of EUR receivable</t>
  </si>
  <si>
    <t>PV(EUR) = FC_AMT / (1 + R_FC)</t>
  </si>
  <si>
    <t>Step 2</t>
  </si>
  <si>
    <t>Convert EUR to USD at spot</t>
  </si>
  <si>
    <t>USD₀ = PV(EUR) × S₀</t>
  </si>
  <si>
    <t>Step 3</t>
  </si>
  <si>
    <t>Invest USD for 1 year</t>
  </si>
  <si>
    <t>USD_T = USD₀ × (1 + R_USD)</t>
  </si>
  <si>
    <t>MM Hedge Result</t>
  </si>
  <si>
    <t>Should ≈ Forward Hedge result</t>
  </si>
  <si>
    <t>Parity Check (Fwd − MM)</t>
  </si>
  <si>
    <t>Should be ≈ $0 (rounding OK)</t>
  </si>
  <si>
    <t>SECTION 4 — OPTION HEDGES  (at a Single S_T)</t>
  </si>
  <si>
    <t>Item</t>
  </si>
  <si>
    <t>Put Hedge</t>
  </si>
  <si>
    <t>Call Hedge</t>
  </si>
  <si>
    <t>Collar (Put+Call)</t>
  </si>
  <si>
    <t>Assumed S_T (ending spot)</t>
  </si>
  <si>
    <t>Change to test different outcomes</t>
  </si>
  <si>
    <t>Total Premium Cost (USD)</t>
  </si>
  <si>
    <t>Collar = Put cost − Call premium received</t>
  </si>
  <si>
    <t>Option Payoff (USD)</t>
  </si>
  <si>
    <t>Put: MAX(K-ST,0)×FC  |  Call sold: MAX(ST-K,0)×FC</t>
  </si>
  <si>
    <t>Unhedged Conversion (USD)</t>
  </si>
  <si>
    <t>Net USD Proceeds</t>
  </si>
  <si>
    <t>Unhedged + Payoff − Premium</t>
  </si>
  <si>
    <t>SECTION 5 — SENSITIVITY TABLE  (±5% Range on S_T)</t>
  </si>
  <si>
    <t>S_T  (Ending Spot)</t>
  </si>
  <si>
    <t>% vs S₀</t>
  </si>
  <si>
    <t>No Hedge</t>
  </si>
  <si>
    <t>Forward Hedge</t>
  </si>
  <si>
    <t>MM Hedge</t>
  </si>
  <si>
    <t>Put Option</t>
  </si>
  <si>
    <t>Call Option</t>
  </si>
  <si>
    <t>Collar</t>
  </si>
  <si>
    <t>SECTION 6 — SUMMARY OUTPUT  (Gray = KPIs)</t>
  </si>
  <si>
    <t>Strategy</t>
  </si>
  <si>
    <t>USD Proceeds</t>
  </si>
  <si>
    <t>vs. No Hedge (at Spot)</t>
  </si>
  <si>
    <t>Comments</t>
  </si>
  <si>
    <t>No Hedge (at Spot)</t>
  </si>
  <si>
    <t>—</t>
  </si>
  <si>
    <t>Baseline: full FX risk</t>
  </si>
  <si>
    <t>Guaranteed; no upside</t>
  </si>
  <si>
    <t>Money Market Hedge</t>
  </si>
  <si>
    <t>Should ≈ Forward</t>
  </si>
  <si>
    <t>Put Option Hedge</t>
  </si>
  <si>
    <t>Floor with upside; costs premium</t>
  </si>
  <si>
    <t>Bounded range; net credit ~$100K</t>
  </si>
  <si>
    <t>SECTION 7 — HEDGE RECOMMENDATION  (To be completed in Stage 4)</t>
  </si>
  <si>
    <t>[Analyst recommendation will be entered here following Stage 4 analysis]</t>
  </si>
  <si>
    <t>Prepared: ____________  |  Analyst: ________________________  |  Data Source: ________________________</t>
  </si>
  <si>
    <t>NOTES &amp; ASSUMPTIONS — FX Hedge Model · Scenario 4</t>
  </si>
  <si>
    <t>Detail</t>
  </si>
  <si>
    <t>Scenario</t>
  </si>
  <si>
    <t>Scenario 4 — U.S. Aerospace Manufacturer</t>
  </si>
  <si>
    <t>FC Receivable</t>
  </si>
  <si>
    <t>€20,000,000 payable in 1 year (~April 2027)</t>
  </si>
  <si>
    <t>Spot Rate Source</t>
  </si>
  <si>
    <t>Yahoo Finance / RoboForex, April 3, 2026 — 1.1530 USD/EUR</t>
  </si>
  <si>
    <t>Forward Rate</t>
  </si>
  <si>
    <t>1.0935 USD/EUR — given in scenario</t>
  </si>
  <si>
    <t>USD Interest Rate</t>
  </si>
  <si>
    <t>4.30% — U.S. 1-year Treasury bill rate, April 3, 2026 (approx.)</t>
  </si>
  <si>
    <t>EUR Interest Rate</t>
  </si>
  <si>
    <t>2.50% — ECB deposit rate estimate, April 3, 2026 (approx.)</t>
  </si>
  <si>
    <t>Option Strikes</t>
  </si>
  <si>
    <t>Set at-the-money: K_PUT = K_CALL = S₀ = 1.1530</t>
  </si>
  <si>
    <t>$0.019/EUR — given in scenario; no multiplier applied</t>
  </si>
  <si>
    <t>$0.024/EUR — given in scenario; no multiplier applied</t>
  </si>
  <si>
    <t>Parity Convention</t>
  </si>
  <si>
    <t>Interest rate parity: F ≈ S₀ × (1+R_USD)/(1+R_FC)</t>
  </si>
  <si>
    <t>MM vs Forward Parity</t>
  </si>
  <si>
    <t>Small residual expected due to rounding in given forward rate</t>
  </si>
  <si>
    <t>Transaction Costs</t>
  </si>
  <si>
    <t>Ignored for model simplicity; would reduce net proceeds in practice</t>
  </si>
  <si>
    <t>Bid-Ask Spreads</t>
  </si>
  <si>
    <t>Not modeled; single mid-market rates used throughout</t>
  </si>
  <si>
    <t>Option Style</t>
  </si>
  <si>
    <t>European-style assumed (exercise only at maturity)</t>
  </si>
  <si>
    <t>Sensitivity Range</t>
  </si>
  <si>
    <t>±5% around S₀ in 1% increments (11 scenarios)</t>
  </si>
  <si>
    <t>Color Convention</t>
  </si>
  <si>
    <t>Yellow=Inputs  |  Blue=Assumptions  |  Green=Formulas  |  Gray=Outputs</t>
  </si>
  <si>
    <t>Stage Reference</t>
  </si>
  <si>
    <t>Stage 1 memo: docs/decisions/stage1-memo.md</t>
  </si>
  <si>
    <t>Template</t>
  </si>
  <si>
    <t>Follows FIN 321 assignment guidelines, April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</si>
</sst>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#,##0"/>
    <numFmt numFmtId="165" formatCode="0.0000"/>
    <numFmt numFmtId="166" formatCode="\$#,##0"/>
    <numFmt numFmtId="167" formatCode="##,##0.00"/>
    <numFmt numFmtId="168" formatCode="\$#,##0.00"/>
  </numFmts>
  <fonts count="12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1F3864"/>
      <name val="Arial"/>
      <charset val="1"/>
    </font>
    <font>
      <i/>
      <sz val="9"/>
      <color rgb="FF555555"/>
      <name val="Arial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i/>
      <sz val="11"/>
      <color rgb="FF000099"/>
      <name val="Arial"/>
      <charset val="1"/>
    </font>
    <font>
      <sz val="9"/>
      <color rgb="FF555555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i/>
      <sz val="10"/>
      <color rgb="FF888888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0F4FA"/>
        <bgColor rgb="FFEEF2F7"/>
      </patternFill>
    </fill>
    <fill>
      <patternFill patternType="solid">
        <fgColor rgb="FFFFFF00"/>
        <bgColor rgb="FFFFFF00"/>
      </patternFill>
    </fill>
    <fill>
      <patternFill patternType="solid">
        <fgColor rgb="FF1B5E20"/>
        <bgColor rgb="FF1F3864"/>
      </patternFill>
    </fill>
    <fill>
      <patternFill patternType="solid">
        <fgColor rgb="FFE2EFDA"/>
        <bgColor rgb="FFEEF2F7"/>
      </patternFill>
    </fill>
    <fill>
      <patternFill patternType="solid">
        <fgColor rgb="FFD9D9D9"/>
        <bgColor rgb="FFCCCCCC"/>
      </patternFill>
    </fill>
    <fill>
      <patternFill patternType="solid">
        <fgColor rgb="FF4A235A"/>
        <bgColor rgb="FF333399"/>
      </patternFill>
    </fill>
    <fill>
      <patternFill patternType="solid">
        <fgColor rgb="FFBDD7EE"/>
        <bgColor rgb="FFCCCCCC"/>
      </patternFill>
    </fill>
    <fill>
      <patternFill patternType="solid">
        <fgColor rgb="FF7B3F00"/>
        <bgColor rgb="FFB45309"/>
      </patternFill>
    </fill>
    <fill>
      <patternFill patternType="solid">
        <fgColor rgb="FFB45309"/>
        <bgColor rgb="FF7B3F00"/>
      </patternFill>
    </fill>
    <fill>
      <patternFill patternType="solid">
        <fgColor rgb="FFEEF2F7"/>
        <bgColor rgb="FFF0F4FA"/>
      </patternFill>
    </fill>
    <fill>
      <patternFill patternType="solid">
        <fgColor rgb="FFFFFFFF"/>
        <bgColor rgb="FFF0F4FA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11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left" vertical="top" wrapText="1"/>
    </xf>
    <xf numFmtId="0" fontId="4" fillId="11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0" fillId="0" borderId="0" xfId="0" applyAlignment="1"/>
    <xf numFmtId="0" fontId="5" fillId="2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4" fontId="6" fillId="4" borderId="2" xfId="0" applyNumberFormat="1" applyFont="1" applyFill="1" applyBorder="1" applyAlignment="1">
      <alignment horizontal="right" vertical="center"/>
    </xf>
    <xf numFmtId="0" fontId="8" fillId="0" borderId="2" xfId="0" applyFont="1" applyBorder="1" applyAlignment="1">
      <alignment horizontal="left" vertical="center"/>
    </xf>
    <xf numFmtId="165" fontId="6" fillId="4" borderId="2" xfId="0" applyNumberFormat="1" applyFont="1" applyFill="1" applyBorder="1" applyAlignment="1">
      <alignment horizontal="right" vertical="center"/>
    </xf>
    <xf numFmtId="10" fontId="6" fillId="4" borderId="2" xfId="0" applyNumberFormat="1" applyFont="1" applyFill="1" applyBorder="1" applyAlignment="1">
      <alignment horizontal="right" vertical="center"/>
    </xf>
    <xf numFmtId="1" fontId="6" fillId="4" borderId="2" xfId="0" applyNumberFormat="1" applyFont="1" applyFill="1" applyBorder="1" applyAlignment="1">
      <alignment horizontal="right" vertical="center"/>
    </xf>
    <xf numFmtId="164" fontId="9" fillId="6" borderId="2" xfId="0" applyNumberFormat="1" applyFont="1" applyFill="1" applyBorder="1" applyAlignment="1">
      <alignment horizontal="right" vertical="center"/>
    </xf>
    <xf numFmtId="165" fontId="9" fillId="6" borderId="2" xfId="0" applyNumberFormat="1" applyFont="1" applyFill="1" applyBorder="1" applyAlignment="1">
      <alignment horizontal="right" vertical="center"/>
    </xf>
    <xf numFmtId="0" fontId="10" fillId="5" borderId="2" xfId="0" applyFont="1" applyFill="1" applyBorder="1" applyAlignment="1">
      <alignment horizontal="left" vertical="center"/>
    </xf>
    <xf numFmtId="166" fontId="6" fillId="7" borderId="2" xfId="0" applyNumberFormat="1" applyFont="1" applyFill="1" applyBorder="1" applyAlignment="1">
      <alignment horizontal="right" vertical="center"/>
    </xf>
    <xf numFmtId="0" fontId="6" fillId="9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left" vertical="center"/>
    </xf>
    <xf numFmtId="167" fontId="9" fillId="6" borderId="2" xfId="0" applyNumberFormat="1" applyFont="1" applyFill="1" applyBorder="1" applyAlignment="1">
      <alignment horizontal="right" vertical="center"/>
    </xf>
    <xf numFmtId="168" fontId="9" fillId="6" borderId="2" xfId="0" applyNumberFormat="1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left" vertical="center"/>
    </xf>
    <xf numFmtId="166" fontId="9" fillId="7" borderId="2" xfId="0" applyNumberFormat="1" applyFont="1" applyFill="1" applyBorder="1" applyAlignment="1">
      <alignment horizontal="right" vertical="center"/>
    </xf>
    <xf numFmtId="166" fontId="9" fillId="4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165" fontId="9" fillId="4" borderId="2" xfId="0" applyNumberFormat="1" applyFont="1" applyFill="1" applyBorder="1" applyAlignment="1">
      <alignment horizontal="right" vertical="center"/>
    </xf>
    <xf numFmtId="166" fontId="9" fillId="6" borderId="2" xfId="0" applyNumberFormat="1" applyFont="1" applyFill="1" applyBorder="1" applyAlignment="1">
      <alignment horizontal="right" vertical="center"/>
    </xf>
    <xf numFmtId="0" fontId="10" fillId="10" borderId="2" xfId="0" applyFont="1" applyFill="1" applyBorder="1" applyAlignment="1">
      <alignment horizontal="left" vertical="center"/>
    </xf>
    <xf numFmtId="165" fontId="9" fillId="12" borderId="2" xfId="0" applyNumberFormat="1" applyFont="1" applyFill="1" applyBorder="1" applyAlignment="1">
      <alignment horizontal="right" vertical="center"/>
    </xf>
    <xf numFmtId="9" fontId="9" fillId="12" borderId="2" xfId="0" applyNumberFormat="1" applyFont="1" applyFill="1" applyBorder="1" applyAlignment="1">
      <alignment horizontal="right" vertical="center"/>
    </xf>
    <xf numFmtId="166" fontId="9" fillId="12" borderId="2" xfId="0" applyNumberFormat="1" applyFont="1" applyFill="1" applyBorder="1" applyAlignment="1">
      <alignment horizontal="right" vertical="center"/>
    </xf>
    <xf numFmtId="165" fontId="9" fillId="13" borderId="2" xfId="0" applyNumberFormat="1" applyFont="1" applyFill="1" applyBorder="1" applyAlignment="1">
      <alignment horizontal="right" vertical="center"/>
    </xf>
    <xf numFmtId="9" fontId="9" fillId="13" borderId="2" xfId="0" applyNumberFormat="1" applyFont="1" applyFill="1" applyBorder="1" applyAlignment="1">
      <alignment horizontal="right" vertical="center"/>
    </xf>
    <xf numFmtId="166" fontId="9" fillId="13" borderId="2" xfId="0" applyNumberFormat="1" applyFont="1" applyFill="1" applyBorder="1" applyAlignment="1">
      <alignment horizontal="right" vertical="center"/>
    </xf>
    <xf numFmtId="9" fontId="6" fillId="4" borderId="2" xfId="0" applyNumberFormat="1" applyFont="1" applyFill="1" applyBorder="1" applyAlignment="1">
      <alignment horizontal="right" vertical="center"/>
    </xf>
    <xf numFmtId="166" fontId="6" fillId="13" borderId="2" xfId="0" applyNumberFormat="1" applyFont="1" applyFill="1" applyBorder="1" applyAlignment="1">
      <alignment horizontal="right" vertical="center"/>
    </xf>
    <xf numFmtId="0" fontId="9" fillId="7" borderId="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left" vertical="center"/>
    </xf>
    <xf numFmtId="0" fontId="6" fillId="12" borderId="2" xfId="0" applyFont="1" applyFill="1" applyBorder="1" applyAlignment="1">
      <alignment horizontal="left" vertical="center"/>
    </xf>
    <xf numFmtId="0" fontId="9" fillId="12" borderId="2" xfId="0" applyFont="1" applyFill="1" applyBorder="1" applyAlignment="1">
      <alignment horizontal="left" vertical="center"/>
    </xf>
    <xf numFmtId="0" fontId="6" fillId="13" borderId="2" xfId="0" applyFont="1" applyFill="1" applyBorder="1" applyAlignment="1">
      <alignment horizontal="left" vertical="center"/>
    </xf>
    <xf numFmtId="0" fontId="9" fillId="13" borderId="2" xfId="0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99"/>
      <rgbColor rgb="FF808000"/>
      <rgbColor rgb="FF800080"/>
      <rgbColor rgb="FF008080"/>
      <rgbColor rgb="FFCCCCCC"/>
      <rgbColor rgb="FF878787"/>
      <rgbColor rgb="FF9999FF"/>
      <rgbColor rgb="FFB45309"/>
      <rgbColor rgb="FFF0F4FA"/>
      <rgbColor rgb="FFEEF2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D9D9D9"/>
      <rgbColor rgb="FF3366FF"/>
      <rgbColor rgb="FF33CCCC"/>
      <rgbColor rgb="FF99CC00"/>
      <rgbColor rgb="FFFFCC00"/>
      <rgbColor rgb="FFC9A84C"/>
      <rgbColor rgb="FFFF6600"/>
      <rgbColor rgb="FF555555"/>
      <rgbColor rgb="FF888888"/>
      <rgbColor rgb="FF1F3864"/>
      <rgbColor rgb="FF339966"/>
      <rgbColor rgb="FF003300"/>
      <rgbColor rgb="FF333300"/>
      <rgbColor rgb="FF7B3F00"/>
      <rgbColor rgb="FF993366"/>
      <rgbColor rgb="FF333399"/>
      <rgbColor rgb="FF4A235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Hedge Strategy Comparison — USD Proceeds vs EUR/USD at Maturity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'FX Hedge Model'!C40</c:f>
              <c:strCache>
                <c:ptCount val="1"/>
                <c:pt idx="0">
                  <c:v>No Hedge</c:v>
                </c:pt>
              </c:strCache>
            </c:strRef>
          </c:tx>
          <c:spPr>
            <a:ln w="20160">
              <a:solidFill>
                <a:srgbClr val="0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Model'!$A$41:$A$51</c:f>
              <c:numCache>
                <c:formatCode>0.0000</c:formatCode>
                <c:ptCount val="11"/>
                <c:pt idx="0">
                  <c:v>1.09535</c:v>
                </c:pt>
                <c:pt idx="1">
                  <c:v>1.1068800000000001</c:v>
                </c:pt>
                <c:pt idx="2">
                  <c:v>1.1184099999999999</c:v>
                </c:pt>
                <c:pt idx="3">
                  <c:v>1.1299399999999999</c:v>
                </c:pt>
                <c:pt idx="4">
                  <c:v>1.14147</c:v>
                </c:pt>
                <c:pt idx="5">
                  <c:v>1.153</c:v>
                </c:pt>
                <c:pt idx="6">
                  <c:v>1.1645300000000001</c:v>
                </c:pt>
                <c:pt idx="7">
                  <c:v>1.1760600000000001</c:v>
                </c:pt>
                <c:pt idx="8">
                  <c:v>1.1875900000000001</c:v>
                </c:pt>
                <c:pt idx="9">
                  <c:v>1.19912</c:v>
                </c:pt>
                <c:pt idx="10">
                  <c:v>1.21065</c:v>
                </c:pt>
              </c:numCache>
            </c:numRef>
          </c:cat>
          <c:val>
            <c:numRef>
              <c:f>'FX Hedge Model'!$C$41:$C$51</c:f>
              <c:numCache>
                <c:formatCode>\$#,##0</c:formatCode>
                <c:ptCount val="11"/>
                <c:pt idx="0">
                  <c:v>21907000</c:v>
                </c:pt>
                <c:pt idx="1">
                  <c:v>22137600</c:v>
                </c:pt>
                <c:pt idx="2">
                  <c:v>22368199.999999996</c:v>
                </c:pt>
                <c:pt idx="3">
                  <c:v>22598800</c:v>
                </c:pt>
                <c:pt idx="4">
                  <c:v>22829400</c:v>
                </c:pt>
                <c:pt idx="5">
                  <c:v>23060000</c:v>
                </c:pt>
                <c:pt idx="6">
                  <c:v>23290600</c:v>
                </c:pt>
                <c:pt idx="7">
                  <c:v>23521200.000000004</c:v>
                </c:pt>
                <c:pt idx="8">
                  <c:v>23751800.000000004</c:v>
                </c:pt>
                <c:pt idx="9">
                  <c:v>23982400</c:v>
                </c:pt>
                <c:pt idx="10">
                  <c:v>24213000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765-6E4E-A8B5-98F165837BDC}"/>
            </c:ext>
          </c:extLst>
        </c:ser>
        <c:ser>
          <c:idx val="1"/>
          <c:order val="1"/>
          <c:tx>
            <c:strRef>
              <c:f>'FX Hedge Model'!D40</c:f>
              <c:strCache>
                <c:ptCount val="1"/>
                <c:pt idx="0">
                  <c:v>Forward Hedge</c:v>
                </c:pt>
              </c:strCache>
            </c:strRef>
          </c:tx>
          <c:spPr>
            <a:ln w="201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Model'!$A$41:$A$51</c:f>
              <c:numCache>
                <c:formatCode>0.0000</c:formatCode>
                <c:ptCount val="11"/>
                <c:pt idx="0">
                  <c:v>1.09535</c:v>
                </c:pt>
                <c:pt idx="1">
                  <c:v>1.1068800000000001</c:v>
                </c:pt>
                <c:pt idx="2">
                  <c:v>1.1184099999999999</c:v>
                </c:pt>
                <c:pt idx="3">
                  <c:v>1.1299399999999999</c:v>
                </c:pt>
                <c:pt idx="4">
                  <c:v>1.14147</c:v>
                </c:pt>
                <c:pt idx="5">
                  <c:v>1.153</c:v>
                </c:pt>
                <c:pt idx="6">
                  <c:v>1.1645300000000001</c:v>
                </c:pt>
                <c:pt idx="7">
                  <c:v>1.1760600000000001</c:v>
                </c:pt>
                <c:pt idx="8">
                  <c:v>1.1875900000000001</c:v>
                </c:pt>
                <c:pt idx="9">
                  <c:v>1.19912</c:v>
                </c:pt>
                <c:pt idx="10">
                  <c:v>1.21065</c:v>
                </c:pt>
              </c:numCache>
            </c:numRef>
          </c:cat>
          <c:val>
            <c:numRef>
              <c:f>'FX Hedge Model'!$D$41:$D$51</c:f>
              <c:numCache>
                <c:formatCode>\$#,##0</c:formatCode>
                <c:ptCount val="11"/>
                <c:pt idx="0">
                  <c:v>21870000</c:v>
                </c:pt>
                <c:pt idx="1">
                  <c:v>21870000</c:v>
                </c:pt>
                <c:pt idx="2">
                  <c:v>21870000</c:v>
                </c:pt>
                <c:pt idx="3">
                  <c:v>21870000</c:v>
                </c:pt>
                <c:pt idx="4">
                  <c:v>21870000</c:v>
                </c:pt>
                <c:pt idx="5">
                  <c:v>21870000</c:v>
                </c:pt>
                <c:pt idx="6">
                  <c:v>21870000</c:v>
                </c:pt>
                <c:pt idx="7">
                  <c:v>21870000</c:v>
                </c:pt>
                <c:pt idx="8">
                  <c:v>21870000</c:v>
                </c:pt>
                <c:pt idx="9">
                  <c:v>21870000</c:v>
                </c:pt>
                <c:pt idx="10">
                  <c:v>21870000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765-6E4E-A8B5-98F165837BDC}"/>
            </c:ext>
          </c:extLst>
        </c:ser>
        <c:ser>
          <c:idx val="2"/>
          <c:order val="2"/>
          <c:tx>
            <c:strRef>
              <c:f>'FX Hedge Model'!E40</c:f>
              <c:strCache>
                <c:ptCount val="1"/>
                <c:pt idx="0">
                  <c:v>MM Hedge</c:v>
                </c:pt>
              </c:strCache>
            </c:strRef>
          </c:tx>
          <c:spPr>
            <a:ln w="20160">
              <a:solidFill>
                <a:srgbClr val="4A235A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Model'!$A$41:$A$51</c:f>
              <c:numCache>
                <c:formatCode>0.0000</c:formatCode>
                <c:ptCount val="11"/>
                <c:pt idx="0">
                  <c:v>1.09535</c:v>
                </c:pt>
                <c:pt idx="1">
                  <c:v>1.1068800000000001</c:v>
                </c:pt>
                <c:pt idx="2">
                  <c:v>1.1184099999999999</c:v>
                </c:pt>
                <c:pt idx="3">
                  <c:v>1.1299399999999999</c:v>
                </c:pt>
                <c:pt idx="4">
                  <c:v>1.14147</c:v>
                </c:pt>
                <c:pt idx="5">
                  <c:v>1.153</c:v>
                </c:pt>
                <c:pt idx="6">
                  <c:v>1.1645300000000001</c:v>
                </c:pt>
                <c:pt idx="7">
                  <c:v>1.1760600000000001</c:v>
                </c:pt>
                <c:pt idx="8">
                  <c:v>1.1875900000000001</c:v>
                </c:pt>
                <c:pt idx="9">
                  <c:v>1.19912</c:v>
                </c:pt>
                <c:pt idx="10">
                  <c:v>1.21065</c:v>
                </c:pt>
              </c:numCache>
            </c:numRef>
          </c:cat>
          <c:val>
            <c:numRef>
              <c:f>'FX Hedge Model'!$E$41:$E$51</c:f>
              <c:numCache>
                <c:formatCode>\$#,##0</c:formatCode>
                <c:ptCount val="11"/>
                <c:pt idx="0">
                  <c:v>23464956.097560979</c:v>
                </c:pt>
                <c:pt idx="1">
                  <c:v>23464956.097560979</c:v>
                </c:pt>
                <c:pt idx="2">
                  <c:v>23464956.097560979</c:v>
                </c:pt>
                <c:pt idx="3">
                  <c:v>23464956.097560979</c:v>
                </c:pt>
                <c:pt idx="4">
                  <c:v>23464956.097560979</c:v>
                </c:pt>
                <c:pt idx="5">
                  <c:v>23464956.097560979</c:v>
                </c:pt>
                <c:pt idx="6">
                  <c:v>23464956.097560979</c:v>
                </c:pt>
                <c:pt idx="7">
                  <c:v>23464956.097560979</c:v>
                </c:pt>
                <c:pt idx="8">
                  <c:v>23464956.097560979</c:v>
                </c:pt>
                <c:pt idx="9">
                  <c:v>23464956.097560979</c:v>
                </c:pt>
                <c:pt idx="10">
                  <c:v>23464956.097560979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765-6E4E-A8B5-98F165837BDC}"/>
            </c:ext>
          </c:extLst>
        </c:ser>
        <c:ser>
          <c:idx val="3"/>
          <c:order val="3"/>
          <c:tx>
            <c:strRef>
              <c:f>'FX Hedge Model'!F40</c:f>
              <c:strCache>
                <c:ptCount val="1"/>
                <c:pt idx="0">
                  <c:v>Put Option</c:v>
                </c:pt>
              </c:strCache>
            </c:strRef>
          </c:tx>
          <c:spPr>
            <a:ln w="20160">
              <a:solidFill>
                <a:srgbClr val="1B5E2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Model'!$A$41:$A$51</c:f>
              <c:numCache>
                <c:formatCode>0.0000</c:formatCode>
                <c:ptCount val="11"/>
                <c:pt idx="0">
                  <c:v>1.09535</c:v>
                </c:pt>
                <c:pt idx="1">
                  <c:v>1.1068800000000001</c:v>
                </c:pt>
                <c:pt idx="2">
                  <c:v>1.1184099999999999</c:v>
                </c:pt>
                <c:pt idx="3">
                  <c:v>1.1299399999999999</c:v>
                </c:pt>
                <c:pt idx="4">
                  <c:v>1.14147</c:v>
                </c:pt>
                <c:pt idx="5">
                  <c:v>1.153</c:v>
                </c:pt>
                <c:pt idx="6">
                  <c:v>1.1645300000000001</c:v>
                </c:pt>
                <c:pt idx="7">
                  <c:v>1.1760600000000001</c:v>
                </c:pt>
                <c:pt idx="8">
                  <c:v>1.1875900000000001</c:v>
                </c:pt>
                <c:pt idx="9">
                  <c:v>1.19912</c:v>
                </c:pt>
                <c:pt idx="10">
                  <c:v>1.21065</c:v>
                </c:pt>
              </c:numCache>
            </c:numRef>
          </c:cat>
          <c:val>
            <c:numRef>
              <c:f>'FX Hedge Model'!$F$41:$F$51</c:f>
              <c:numCache>
                <c:formatCode>\$#,##0</c:formatCode>
                <c:ptCount val="11"/>
                <c:pt idx="0">
                  <c:v>22680000</c:v>
                </c:pt>
                <c:pt idx="1">
                  <c:v>22680000</c:v>
                </c:pt>
                <c:pt idx="2">
                  <c:v>22680000</c:v>
                </c:pt>
                <c:pt idx="3">
                  <c:v>22680000</c:v>
                </c:pt>
                <c:pt idx="4">
                  <c:v>22680000</c:v>
                </c:pt>
                <c:pt idx="5">
                  <c:v>22680000</c:v>
                </c:pt>
                <c:pt idx="6">
                  <c:v>22910600</c:v>
                </c:pt>
                <c:pt idx="7">
                  <c:v>23141200.000000004</c:v>
                </c:pt>
                <c:pt idx="8">
                  <c:v>23371800.000000004</c:v>
                </c:pt>
                <c:pt idx="9">
                  <c:v>23602400</c:v>
                </c:pt>
                <c:pt idx="10">
                  <c:v>23833000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765-6E4E-A8B5-98F165837BDC}"/>
            </c:ext>
          </c:extLst>
        </c:ser>
        <c:ser>
          <c:idx val="4"/>
          <c:order val="4"/>
          <c:tx>
            <c:strRef>
              <c:f>'FX Hedge Model'!G40</c:f>
              <c:strCache>
                <c:ptCount val="1"/>
                <c:pt idx="0">
                  <c:v>Call Option</c:v>
                </c:pt>
              </c:strCache>
            </c:strRef>
          </c:tx>
          <c:spPr>
            <a:ln w="20160">
              <a:solidFill>
                <a:srgbClr val="7B3F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Model'!$A$41:$A$51</c:f>
              <c:numCache>
                <c:formatCode>0.0000</c:formatCode>
                <c:ptCount val="11"/>
                <c:pt idx="0">
                  <c:v>1.09535</c:v>
                </c:pt>
                <c:pt idx="1">
                  <c:v>1.1068800000000001</c:v>
                </c:pt>
                <c:pt idx="2">
                  <c:v>1.1184099999999999</c:v>
                </c:pt>
                <c:pt idx="3">
                  <c:v>1.1299399999999999</c:v>
                </c:pt>
                <c:pt idx="4">
                  <c:v>1.14147</c:v>
                </c:pt>
                <c:pt idx="5">
                  <c:v>1.153</c:v>
                </c:pt>
                <c:pt idx="6">
                  <c:v>1.1645300000000001</c:v>
                </c:pt>
                <c:pt idx="7">
                  <c:v>1.1760600000000001</c:v>
                </c:pt>
                <c:pt idx="8">
                  <c:v>1.1875900000000001</c:v>
                </c:pt>
                <c:pt idx="9">
                  <c:v>1.19912</c:v>
                </c:pt>
                <c:pt idx="10">
                  <c:v>1.21065</c:v>
                </c:pt>
              </c:numCache>
            </c:numRef>
          </c:cat>
          <c:val>
            <c:numRef>
              <c:f>'FX Hedge Model'!$G$41:$G$51</c:f>
              <c:numCache>
                <c:formatCode>\$#,##0</c:formatCode>
                <c:ptCount val="11"/>
                <c:pt idx="0">
                  <c:v>21427000</c:v>
                </c:pt>
                <c:pt idx="1">
                  <c:v>21657600</c:v>
                </c:pt>
                <c:pt idx="2">
                  <c:v>21888199.999999996</c:v>
                </c:pt>
                <c:pt idx="3">
                  <c:v>22118800</c:v>
                </c:pt>
                <c:pt idx="4">
                  <c:v>22349400</c:v>
                </c:pt>
                <c:pt idx="5">
                  <c:v>22580000</c:v>
                </c:pt>
                <c:pt idx="6">
                  <c:v>22580000</c:v>
                </c:pt>
                <c:pt idx="7">
                  <c:v>22580000.000000004</c:v>
                </c:pt>
                <c:pt idx="8">
                  <c:v>22580000</c:v>
                </c:pt>
                <c:pt idx="9">
                  <c:v>22580000</c:v>
                </c:pt>
                <c:pt idx="10">
                  <c:v>22580000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2765-6E4E-A8B5-98F165837BDC}"/>
            </c:ext>
          </c:extLst>
        </c:ser>
        <c:ser>
          <c:idx val="5"/>
          <c:order val="5"/>
          <c:tx>
            <c:strRef>
              <c:f>'FX Hedge Model'!H40</c:f>
              <c:strCache>
                <c:ptCount val="1"/>
                <c:pt idx="0">
                  <c:v>Collar</c:v>
                </c:pt>
              </c:strCache>
            </c:strRef>
          </c:tx>
          <c:spPr>
            <a:ln w="20160">
              <a:solidFill>
                <a:srgbClr val="C9A84C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'FX Hedge Model'!$A$41:$A$51</c:f>
              <c:numCache>
                <c:formatCode>0.0000</c:formatCode>
                <c:ptCount val="11"/>
                <c:pt idx="0">
                  <c:v>1.09535</c:v>
                </c:pt>
                <c:pt idx="1">
                  <c:v>1.1068800000000001</c:v>
                </c:pt>
                <c:pt idx="2">
                  <c:v>1.1184099999999999</c:v>
                </c:pt>
                <c:pt idx="3">
                  <c:v>1.1299399999999999</c:v>
                </c:pt>
                <c:pt idx="4">
                  <c:v>1.14147</c:v>
                </c:pt>
                <c:pt idx="5">
                  <c:v>1.153</c:v>
                </c:pt>
                <c:pt idx="6">
                  <c:v>1.1645300000000001</c:v>
                </c:pt>
                <c:pt idx="7">
                  <c:v>1.1760600000000001</c:v>
                </c:pt>
                <c:pt idx="8">
                  <c:v>1.1875900000000001</c:v>
                </c:pt>
                <c:pt idx="9">
                  <c:v>1.19912</c:v>
                </c:pt>
                <c:pt idx="10">
                  <c:v>1.21065</c:v>
                </c:pt>
              </c:numCache>
            </c:numRef>
          </c:cat>
          <c:val>
            <c:numRef>
              <c:f>'FX Hedge Model'!$H$41:$H$51</c:f>
              <c:numCache>
                <c:formatCode>\$#,##0</c:formatCode>
                <c:ptCount val="11"/>
                <c:pt idx="0">
                  <c:v>23160000</c:v>
                </c:pt>
                <c:pt idx="1">
                  <c:v>23160000</c:v>
                </c:pt>
                <c:pt idx="2">
                  <c:v>23160000</c:v>
                </c:pt>
                <c:pt idx="3">
                  <c:v>23160000</c:v>
                </c:pt>
                <c:pt idx="4">
                  <c:v>23160000</c:v>
                </c:pt>
                <c:pt idx="5">
                  <c:v>23160000</c:v>
                </c:pt>
                <c:pt idx="6">
                  <c:v>23160000</c:v>
                </c:pt>
                <c:pt idx="7">
                  <c:v>23160000.000000004</c:v>
                </c:pt>
                <c:pt idx="8">
                  <c:v>23160000</c:v>
                </c:pt>
                <c:pt idx="9">
                  <c:v>23160000</c:v>
                </c:pt>
                <c:pt idx="10">
                  <c:v>23160000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2765-6E4E-A8B5-98F165837B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0954595"/>
        <c:axId val="70409524"/>
      </c:lineChart>
      <c:catAx>
        <c:axId val="2095459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EUR/USD at Maturity (S_T)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09524"/>
        <c:crosses val="autoZero"/>
        <c:auto val="1"/>
        <c:lblAlgn val="ctr"/>
        <c:lblOffset val="100"/>
        <c:noMultiLvlLbl val="0"/>
      </c:catAx>
      <c:valAx>
        <c:axId val="704095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Proceeds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095459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52</xdr:row>
      <xdr:rowOff>0</xdr:rowOff>
    </xdr:from>
    <xdr:to>
      <xdr:col>6</xdr:col>
      <xdr:colOff>759960</xdr:colOff>
      <xdr:row>78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zoomScaleNormal="100" workbookViewId="0">
      <pane ySplit="6" topLeftCell="A38" activePane="bottomLeft" state="frozen"/>
      <selection pane="bottomLeft" activeCell="F8" sqref="F8"/>
    </sheetView>
  </sheetViews>
  <sheetFormatPr defaultColWidth="8.7421875" defaultRowHeight="15" x14ac:dyDescent="0.2"/>
  <cols>
    <col min="1" max="1" width="32.015625" style="15" customWidth="1"/>
    <col min="2" max="6" width="18.0234375" style="15" customWidth="1"/>
    <col min="7" max="7" width="22.05859375" style="15" customWidth="1"/>
    <col min="8" max="8" width="27.98046875" style="15" customWidth="1"/>
  </cols>
  <sheetData>
    <row r="1" spans="1:8" ht="27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3" spans="1:8" ht="15.75" customHeight="1" x14ac:dyDescent="0.2"/>
    <row r="5" spans="1:8" ht="15" customHeight="1" x14ac:dyDescent="0.2">
      <c r="A5" s="11" t="s">
        <v>2</v>
      </c>
      <c r="B5" s="11"/>
      <c r="C5" s="11"/>
      <c r="D5" s="11"/>
    </row>
    <row r="6" spans="1:8" ht="15" customHeight="1" x14ac:dyDescent="0.2">
      <c r="A6" s="16" t="s">
        <v>3</v>
      </c>
      <c r="B6" s="16" t="s">
        <v>4</v>
      </c>
      <c r="C6" s="16" t="s">
        <v>5</v>
      </c>
      <c r="D6" s="16" t="s">
        <v>6</v>
      </c>
    </row>
    <row r="7" spans="1:8" ht="15" customHeight="1" x14ac:dyDescent="0.2">
      <c r="A7" s="17" t="s">
        <v>7</v>
      </c>
      <c r="B7" s="18" t="s">
        <v>8</v>
      </c>
      <c r="C7" s="19">
        <v>20000000</v>
      </c>
      <c r="D7" s="20" t="s">
        <v>9</v>
      </c>
    </row>
    <row r="8" spans="1:8" ht="15" customHeight="1" x14ac:dyDescent="0.2">
      <c r="A8" s="17" t="s">
        <v>10</v>
      </c>
      <c r="B8" s="18" t="s">
        <v>11</v>
      </c>
      <c r="C8" s="21">
        <v>1.153</v>
      </c>
      <c r="D8" s="20" t="s">
        <v>12</v>
      </c>
    </row>
    <row r="9" spans="1:8" ht="15" customHeight="1" x14ac:dyDescent="0.2">
      <c r="A9" s="17" t="s">
        <v>13</v>
      </c>
      <c r="B9" s="18" t="s">
        <v>14</v>
      </c>
      <c r="C9" s="21">
        <v>1.0934999999999999</v>
      </c>
      <c r="D9" s="20" t="s">
        <v>15</v>
      </c>
    </row>
    <row r="10" spans="1:8" ht="15" customHeight="1" x14ac:dyDescent="0.2">
      <c r="A10" s="17" t="s">
        <v>16</v>
      </c>
      <c r="B10" s="18" t="s">
        <v>17</v>
      </c>
      <c r="C10" s="22">
        <v>4.2999999999999997E-2</v>
      </c>
      <c r="D10" s="20" t="s">
        <v>18</v>
      </c>
    </row>
    <row r="11" spans="1:8" ht="15" customHeight="1" x14ac:dyDescent="0.2">
      <c r="A11" s="17" t="s">
        <v>19</v>
      </c>
      <c r="B11" s="18" t="s">
        <v>20</v>
      </c>
      <c r="C11" s="22">
        <v>2.5000000000000001E-2</v>
      </c>
      <c r="D11" s="20" t="s">
        <v>21</v>
      </c>
    </row>
    <row r="12" spans="1:8" ht="15" customHeight="1" x14ac:dyDescent="0.2">
      <c r="A12" s="17" t="s">
        <v>22</v>
      </c>
      <c r="B12" s="18" t="s">
        <v>23</v>
      </c>
      <c r="C12" s="21">
        <v>1.153</v>
      </c>
      <c r="D12" s="20" t="s">
        <v>24</v>
      </c>
    </row>
    <row r="13" spans="1:8" ht="15" customHeight="1" x14ac:dyDescent="0.2">
      <c r="A13" s="17" t="s">
        <v>25</v>
      </c>
      <c r="B13" s="18" t="s">
        <v>26</v>
      </c>
      <c r="C13" s="21">
        <v>1.153</v>
      </c>
      <c r="D13" s="20" t="s">
        <v>24</v>
      </c>
    </row>
    <row r="14" spans="1:8" ht="15" customHeight="1" x14ac:dyDescent="0.2">
      <c r="A14" s="17" t="s">
        <v>27</v>
      </c>
      <c r="B14" s="18" t="s">
        <v>28</v>
      </c>
      <c r="C14" s="21">
        <v>1.9E-2</v>
      </c>
      <c r="D14" s="20" t="s">
        <v>15</v>
      </c>
    </row>
    <row r="15" spans="1:8" ht="15" customHeight="1" x14ac:dyDescent="0.2">
      <c r="A15" s="17" t="s">
        <v>29</v>
      </c>
      <c r="B15" s="18" t="s">
        <v>30</v>
      </c>
      <c r="C15" s="21">
        <v>2.4E-2</v>
      </c>
      <c r="D15" s="20" t="s">
        <v>15</v>
      </c>
    </row>
    <row r="16" spans="1:8" ht="15" customHeight="1" x14ac:dyDescent="0.2">
      <c r="A16" s="17" t="s">
        <v>31</v>
      </c>
      <c r="B16" s="18" t="s">
        <v>32</v>
      </c>
      <c r="C16" s="23">
        <v>365</v>
      </c>
      <c r="D16" s="20" t="s">
        <v>33</v>
      </c>
    </row>
    <row r="18" spans="1:5" ht="15" customHeight="1" x14ac:dyDescent="0.2">
      <c r="A18" s="10" t="s">
        <v>34</v>
      </c>
      <c r="B18" s="10"/>
      <c r="C18" s="10"/>
      <c r="D18" s="10"/>
    </row>
    <row r="19" spans="1:5" ht="15" customHeight="1" x14ac:dyDescent="0.2">
      <c r="A19" s="17" t="s">
        <v>35</v>
      </c>
      <c r="C19" s="24">
        <f>C7</f>
        <v>20000000</v>
      </c>
      <c r="D19" s="20" t="s">
        <v>36</v>
      </c>
    </row>
    <row r="20" spans="1:5" ht="15" customHeight="1" x14ac:dyDescent="0.2">
      <c r="A20" s="17" t="s">
        <v>37</v>
      </c>
      <c r="C20" s="25">
        <f>C9</f>
        <v>1.0934999999999999</v>
      </c>
      <c r="D20" s="20" t="s">
        <v>36</v>
      </c>
    </row>
    <row r="21" spans="1:5" ht="15" customHeight="1" x14ac:dyDescent="0.2">
      <c r="A21" s="26" t="s">
        <v>38</v>
      </c>
      <c r="C21" s="27">
        <f>C19*C20</f>
        <v>21870000</v>
      </c>
      <c r="D21" s="20" t="s">
        <v>39</v>
      </c>
    </row>
    <row r="23" spans="1:5" ht="15" customHeight="1" x14ac:dyDescent="0.2">
      <c r="A23" s="9" t="s">
        <v>40</v>
      </c>
      <c r="B23" s="9"/>
      <c r="C23" s="9"/>
      <c r="D23" s="9"/>
      <c r="E23" s="9"/>
    </row>
    <row r="24" spans="1:5" ht="15" customHeight="1" x14ac:dyDescent="0.2">
      <c r="A24" s="16" t="s">
        <v>41</v>
      </c>
      <c r="B24" s="16" t="s">
        <v>42</v>
      </c>
      <c r="C24" s="16" t="s">
        <v>43</v>
      </c>
      <c r="D24" s="16" t="s">
        <v>44</v>
      </c>
      <c r="E24" s="16" t="s">
        <v>45</v>
      </c>
    </row>
    <row r="25" spans="1:5" ht="15" customHeight="1" x14ac:dyDescent="0.2">
      <c r="A25" s="28" t="s">
        <v>46</v>
      </c>
      <c r="B25" s="29" t="s">
        <v>47</v>
      </c>
      <c r="C25" s="30">
        <f>C7/(1+C11)</f>
        <v>19512195.121951222</v>
      </c>
      <c r="D25" s="30">
        <f>C25</f>
        <v>19512195.121951222</v>
      </c>
      <c r="E25" s="20" t="s">
        <v>48</v>
      </c>
    </row>
    <row r="26" spans="1:5" ht="15" customHeight="1" x14ac:dyDescent="0.2">
      <c r="A26" s="28" t="s">
        <v>49</v>
      </c>
      <c r="B26" s="29" t="s">
        <v>50</v>
      </c>
      <c r="C26" s="31">
        <f>C25*C8</f>
        <v>22497560.975609761</v>
      </c>
      <c r="D26" s="31">
        <f>C26</f>
        <v>22497560.975609761</v>
      </c>
      <c r="E26" s="20" t="s">
        <v>51</v>
      </c>
    </row>
    <row r="27" spans="1:5" ht="15" customHeight="1" x14ac:dyDescent="0.2">
      <c r="A27" s="28" t="s">
        <v>52</v>
      </c>
      <c r="B27" s="29" t="s">
        <v>53</v>
      </c>
      <c r="C27" s="31">
        <f>C26*(1+C10)</f>
        <v>23464956.097560979</v>
      </c>
      <c r="D27" s="31">
        <f>C27</f>
        <v>23464956.097560979</v>
      </c>
      <c r="E27" s="20" t="s">
        <v>54</v>
      </c>
    </row>
    <row r="28" spans="1:5" ht="15" customHeight="1" x14ac:dyDescent="0.2">
      <c r="A28" s="32" t="s">
        <v>55</v>
      </c>
      <c r="C28" s="27">
        <f>C27</f>
        <v>23464956.097560979</v>
      </c>
      <c r="D28" s="33">
        <f>C28</f>
        <v>23464956.097560979</v>
      </c>
      <c r="E28" s="20" t="s">
        <v>56</v>
      </c>
    </row>
    <row r="29" spans="1:5" ht="15" customHeight="1" x14ac:dyDescent="0.2">
      <c r="A29" s="17" t="s">
        <v>57</v>
      </c>
      <c r="C29" s="34">
        <f>C21-C28</f>
        <v>-1594956.0975609794</v>
      </c>
      <c r="E29" s="35" t="s">
        <v>58</v>
      </c>
    </row>
    <row r="31" spans="1:5" ht="15" customHeight="1" x14ac:dyDescent="0.2">
      <c r="A31" s="8" t="s">
        <v>59</v>
      </c>
      <c r="B31" s="8"/>
      <c r="C31" s="8"/>
      <c r="D31" s="8"/>
      <c r="E31" s="8"/>
    </row>
    <row r="32" spans="1:5" ht="15" customHeight="1" x14ac:dyDescent="0.2">
      <c r="A32" s="16" t="s">
        <v>60</v>
      </c>
      <c r="B32" s="16" t="s">
        <v>61</v>
      </c>
      <c r="C32" s="16" t="s">
        <v>62</v>
      </c>
      <c r="D32" s="16" t="s">
        <v>63</v>
      </c>
      <c r="E32" s="16" t="s">
        <v>45</v>
      </c>
    </row>
    <row r="33" spans="1:8" ht="15" customHeight="1" x14ac:dyDescent="0.2">
      <c r="A33" s="36" t="s">
        <v>64</v>
      </c>
      <c r="B33" s="37">
        <f>C8</f>
        <v>1.153</v>
      </c>
      <c r="C33" s="37">
        <f>C8</f>
        <v>1.153</v>
      </c>
      <c r="D33" s="37">
        <f>C8</f>
        <v>1.153</v>
      </c>
      <c r="E33" s="20" t="s">
        <v>65</v>
      </c>
    </row>
    <row r="34" spans="1:8" ht="15" customHeight="1" x14ac:dyDescent="0.2">
      <c r="A34" s="17" t="s">
        <v>66</v>
      </c>
      <c r="B34" s="38">
        <f>C7*C14</f>
        <v>380000</v>
      </c>
      <c r="C34" s="38">
        <f>C7*C15</f>
        <v>480000</v>
      </c>
      <c r="D34" s="38">
        <f>B34-C34</f>
        <v>-100000</v>
      </c>
      <c r="E34" s="20" t="s">
        <v>67</v>
      </c>
    </row>
    <row r="35" spans="1:8" ht="15" customHeight="1" x14ac:dyDescent="0.2">
      <c r="A35" s="17" t="s">
        <v>68</v>
      </c>
      <c r="B35" s="38">
        <f>MAX(C12-B33,0)*C7</f>
        <v>0</v>
      </c>
      <c r="C35" s="38">
        <f>MAX(C33-C13,0)*C7</f>
        <v>0</v>
      </c>
      <c r="D35" s="38">
        <f>B35+C35</f>
        <v>0</v>
      </c>
      <c r="E35" s="20" t="s">
        <v>69</v>
      </c>
    </row>
    <row r="36" spans="1:8" ht="15" customHeight="1" x14ac:dyDescent="0.2">
      <c r="A36" s="17" t="s">
        <v>70</v>
      </c>
      <c r="B36" s="38">
        <f>B33*C7</f>
        <v>23060000</v>
      </c>
      <c r="C36" s="38">
        <f>C33*C7</f>
        <v>23060000</v>
      </c>
      <c r="D36" s="38">
        <f>D33*C7</f>
        <v>23060000</v>
      </c>
    </row>
    <row r="37" spans="1:8" ht="15" customHeight="1" x14ac:dyDescent="0.2">
      <c r="A37" s="39" t="s">
        <v>71</v>
      </c>
      <c r="B37" s="27">
        <f>B36+B35-B34</f>
        <v>22680000</v>
      </c>
      <c r="C37" s="27">
        <f>C36+C35-C34</f>
        <v>22580000</v>
      </c>
      <c r="D37" s="27">
        <f>D36+D35-D34</f>
        <v>23160000</v>
      </c>
      <c r="E37" s="20" t="s">
        <v>72</v>
      </c>
    </row>
    <row r="39" spans="1:8" ht="15" customHeight="1" x14ac:dyDescent="0.2">
      <c r="A39" s="7" t="s">
        <v>73</v>
      </c>
      <c r="B39" s="7"/>
      <c r="C39" s="7"/>
      <c r="D39" s="7"/>
      <c r="E39" s="7"/>
      <c r="F39" s="7"/>
      <c r="G39" s="7"/>
      <c r="H39" s="7"/>
    </row>
    <row r="40" spans="1:8" ht="15" customHeight="1" x14ac:dyDescent="0.2">
      <c r="A40" s="16" t="s">
        <v>74</v>
      </c>
      <c r="B40" s="16" t="s">
        <v>75</v>
      </c>
      <c r="C40" s="16" t="s">
        <v>76</v>
      </c>
      <c r="D40" s="16" t="s">
        <v>77</v>
      </c>
      <c r="E40" s="16" t="s">
        <v>78</v>
      </c>
      <c r="F40" s="16" t="s">
        <v>79</v>
      </c>
      <c r="G40" s="16" t="s">
        <v>80</v>
      </c>
      <c r="H40" s="16" t="s">
        <v>81</v>
      </c>
    </row>
    <row r="41" spans="1:8" ht="15" customHeight="1" x14ac:dyDescent="0.2">
      <c r="A41" s="40">
        <f>C8*(1+-0.05)</f>
        <v>1.09535</v>
      </c>
      <c r="B41" s="41">
        <v>-0.05</v>
      </c>
      <c r="C41" s="42">
        <f>A41*C7</f>
        <v>21907000</v>
      </c>
      <c r="D41" s="42">
        <f>C9*C7</f>
        <v>21870000</v>
      </c>
      <c r="E41" s="42">
        <f>(C7/(1+C11))*C8*(1+C10)</f>
        <v>23464956.097560979</v>
      </c>
      <c r="F41" s="42">
        <f>A41*C7+MAX(C12-A41,0)*C7-C14*C7</f>
        <v>22680000</v>
      </c>
      <c r="G41" s="42">
        <f>A41*C7-MAX(A41-C13,0)*C7-C15*C7</f>
        <v>21427000</v>
      </c>
      <c r="H41" s="42">
        <f>A41*C7+MAX(C12-A41,0)*C7-MAX(A41-C13,0)*C7-(C14-C15)*C7</f>
        <v>23160000</v>
      </c>
    </row>
    <row r="42" spans="1:8" ht="15" customHeight="1" x14ac:dyDescent="0.2">
      <c r="A42" s="43">
        <f>C8*(1+-0.04)</f>
        <v>1.1068800000000001</v>
      </c>
      <c r="B42" s="44">
        <v>-0.04</v>
      </c>
      <c r="C42" s="45">
        <f>A42*C7</f>
        <v>22137600</v>
      </c>
      <c r="D42" s="45">
        <f>C9*C7</f>
        <v>21870000</v>
      </c>
      <c r="E42" s="45">
        <f>(C7/(1+C11))*C8*(1+C10)</f>
        <v>23464956.097560979</v>
      </c>
      <c r="F42" s="45">
        <f>A42*C7+MAX(C12-A42,0)*C7-C14*C7</f>
        <v>22680000</v>
      </c>
      <c r="G42" s="45">
        <f>A42*C7-MAX(A42-C13,0)*C7-C15*C7</f>
        <v>21657600</v>
      </c>
      <c r="H42" s="45">
        <f>A42*C7+MAX(C12-A42,0)*C7-MAX(A42-C13,0)*C7-(C14-C15)*C7</f>
        <v>23160000</v>
      </c>
    </row>
    <row r="43" spans="1:8" ht="15" customHeight="1" x14ac:dyDescent="0.2">
      <c r="A43" s="40">
        <f>C8*(1+-0.03)</f>
        <v>1.1184099999999999</v>
      </c>
      <c r="B43" s="41">
        <v>-0.03</v>
      </c>
      <c r="C43" s="42">
        <f>A43*C7</f>
        <v>22368199.999999996</v>
      </c>
      <c r="D43" s="42">
        <f>C9*C7</f>
        <v>21870000</v>
      </c>
      <c r="E43" s="42">
        <f>(C7/(1+C11))*C8*(1+C10)</f>
        <v>23464956.097560979</v>
      </c>
      <c r="F43" s="42">
        <f>A43*C7+MAX(C12-A43,0)*C7-C14*C7</f>
        <v>22680000</v>
      </c>
      <c r="G43" s="42">
        <f>A43*C7-MAX(A43-C13,0)*C7-C15*C7</f>
        <v>21888199.999999996</v>
      </c>
      <c r="H43" s="42">
        <f>A43*C7+MAX(C12-A43,0)*C7-MAX(A43-C13,0)*C7-(C14-C15)*C7</f>
        <v>23160000</v>
      </c>
    </row>
    <row r="44" spans="1:8" ht="15" customHeight="1" x14ac:dyDescent="0.2">
      <c r="A44" s="43">
        <f>C8*(1+-0.02)</f>
        <v>1.1299399999999999</v>
      </c>
      <c r="B44" s="44">
        <v>-0.02</v>
      </c>
      <c r="C44" s="45">
        <f>A44*C7</f>
        <v>22598800</v>
      </c>
      <c r="D44" s="45">
        <f>C9*C7</f>
        <v>21870000</v>
      </c>
      <c r="E44" s="45">
        <f>(C7/(1+C11))*C8*(1+C10)</f>
        <v>23464956.097560979</v>
      </c>
      <c r="F44" s="45">
        <f>A44*C7+MAX(C12-A44,0)*C7-C14*C7</f>
        <v>22680000</v>
      </c>
      <c r="G44" s="45">
        <f>A44*C7-MAX(A44-C13,0)*C7-C15*C7</f>
        <v>22118800</v>
      </c>
      <c r="H44" s="45">
        <f>A44*C7+MAX(C12-A44,0)*C7-MAX(A44-C13,0)*C7-(C14-C15)*C7</f>
        <v>23160000</v>
      </c>
    </row>
    <row r="45" spans="1:8" ht="15" customHeight="1" x14ac:dyDescent="0.2">
      <c r="A45" s="40">
        <f>C8*(1+-0.01)</f>
        <v>1.14147</v>
      </c>
      <c r="B45" s="41">
        <v>-0.01</v>
      </c>
      <c r="C45" s="42">
        <f>A45*C7</f>
        <v>22829400</v>
      </c>
      <c r="D45" s="42">
        <f>C9*C7</f>
        <v>21870000</v>
      </c>
      <c r="E45" s="42">
        <f>(C7/(1+C11))*C8*(1+C10)</f>
        <v>23464956.097560979</v>
      </c>
      <c r="F45" s="42">
        <f>A45*C7+MAX(C12-A45,0)*C7-C14*C7</f>
        <v>22680000</v>
      </c>
      <c r="G45" s="42">
        <f>A45*C7-MAX(A45-C13,0)*C7-C15*C7</f>
        <v>22349400</v>
      </c>
      <c r="H45" s="42">
        <f>A45*C7+MAX(C12-A45,0)*C7-MAX(A45-C13,0)*C7-(C14-C15)*C7</f>
        <v>23160000</v>
      </c>
    </row>
    <row r="46" spans="1:8" ht="15" customHeight="1" x14ac:dyDescent="0.2">
      <c r="A46" s="21">
        <f>C8*(1+0)</f>
        <v>1.153</v>
      </c>
      <c r="B46" s="46">
        <v>0</v>
      </c>
      <c r="C46" s="47">
        <f>A46*C7</f>
        <v>23060000</v>
      </c>
      <c r="D46" s="47">
        <f>C9*C7</f>
        <v>21870000</v>
      </c>
      <c r="E46" s="47">
        <f>(C7/(1+C11))*C8*(1+C10)</f>
        <v>23464956.097560979</v>
      </c>
      <c r="F46" s="47">
        <f>A46*C7+MAX(C12-A46,0)*C7-C14*C7</f>
        <v>22680000</v>
      </c>
      <c r="G46" s="47">
        <f>A46*C7-MAX(A46-C13,0)*C7-C15*C7</f>
        <v>22580000</v>
      </c>
      <c r="H46" s="47">
        <f>A46*C7+MAX(C12-A46,0)*C7-MAX(A46-C13,0)*C7-(C14-C15)*C7</f>
        <v>23160000</v>
      </c>
    </row>
    <row r="47" spans="1:8" ht="15" customHeight="1" x14ac:dyDescent="0.2">
      <c r="A47" s="40">
        <f>C8*(1+0.01)</f>
        <v>1.1645300000000001</v>
      </c>
      <c r="B47" s="41">
        <v>0.01</v>
      </c>
      <c r="C47" s="42">
        <f>A47*C7</f>
        <v>23290600</v>
      </c>
      <c r="D47" s="42">
        <f>C9*C7</f>
        <v>21870000</v>
      </c>
      <c r="E47" s="42">
        <f>(C7/(1+C11))*C8*(1+C10)</f>
        <v>23464956.097560979</v>
      </c>
      <c r="F47" s="42">
        <f>A47*C7+MAX(C12-A47,0)*C7-C14*C7</f>
        <v>22910600</v>
      </c>
      <c r="G47" s="42">
        <f>A47*C7-MAX(A47-C13,0)*C7-C15*C7</f>
        <v>22580000</v>
      </c>
      <c r="H47" s="42">
        <f>A47*C7+MAX(C12-A47,0)*C7-MAX(A47-C13,0)*C7-(C14-C15)*C7</f>
        <v>23160000</v>
      </c>
    </row>
    <row r="48" spans="1:8" ht="15" customHeight="1" x14ac:dyDescent="0.2">
      <c r="A48" s="43">
        <f>C8*(1+0.02)</f>
        <v>1.1760600000000001</v>
      </c>
      <c r="B48" s="44">
        <v>0.02</v>
      </c>
      <c r="C48" s="45">
        <f>A48*C7</f>
        <v>23521200.000000004</v>
      </c>
      <c r="D48" s="45">
        <f>C9*C7</f>
        <v>21870000</v>
      </c>
      <c r="E48" s="45">
        <f>(C7/(1+C11))*C8*(1+C10)</f>
        <v>23464956.097560979</v>
      </c>
      <c r="F48" s="45">
        <f>A48*C7+MAX(C12-A48,0)*C7-C14*C7</f>
        <v>23141200.000000004</v>
      </c>
      <c r="G48" s="45">
        <f>A48*C7-MAX(A48-C13,0)*C7-C15*C7</f>
        <v>22580000.000000004</v>
      </c>
      <c r="H48" s="45">
        <f>A48*C7+MAX(C12-A48,0)*C7-MAX(A48-C13,0)*C7-(C14-C15)*C7</f>
        <v>23160000.000000004</v>
      </c>
    </row>
    <row r="49" spans="1:8" ht="15" customHeight="1" x14ac:dyDescent="0.2">
      <c r="A49" s="40">
        <f>C8*(1+0.03)</f>
        <v>1.1875900000000001</v>
      </c>
      <c r="B49" s="41">
        <v>0.03</v>
      </c>
      <c r="C49" s="42">
        <f>A49*C7</f>
        <v>23751800.000000004</v>
      </c>
      <c r="D49" s="42">
        <f>C9*C7</f>
        <v>21870000</v>
      </c>
      <c r="E49" s="42">
        <f>(C7/(1+C11))*C8*(1+C10)</f>
        <v>23464956.097560979</v>
      </c>
      <c r="F49" s="42">
        <f>A49*C7+MAX(C12-A49,0)*C7-C14*C7</f>
        <v>23371800.000000004</v>
      </c>
      <c r="G49" s="42">
        <f>A49*C7-MAX(A49-C13,0)*C7-C15*C7</f>
        <v>22580000</v>
      </c>
      <c r="H49" s="42">
        <f>A49*C7+MAX(C12-A49,0)*C7-MAX(A49-C13,0)*C7-(C14-C15)*C7</f>
        <v>23160000</v>
      </c>
    </row>
    <row r="50" spans="1:8" ht="15" customHeight="1" x14ac:dyDescent="0.2">
      <c r="A50" s="43">
        <f>C8*(1+0.04)</f>
        <v>1.19912</v>
      </c>
      <c r="B50" s="44">
        <v>0.04</v>
      </c>
      <c r="C50" s="45">
        <f>A50*C7</f>
        <v>23982400</v>
      </c>
      <c r="D50" s="45">
        <f>C9*C7</f>
        <v>21870000</v>
      </c>
      <c r="E50" s="45">
        <f>(C7/(1+C11))*C8*(1+C10)</f>
        <v>23464956.097560979</v>
      </c>
      <c r="F50" s="45">
        <f>A50*C7+MAX(C12-A50,0)*C7-C14*C7</f>
        <v>23602400</v>
      </c>
      <c r="G50" s="45">
        <f>A50*C7-MAX(A50-C13,0)*C7-C15*C7</f>
        <v>22580000</v>
      </c>
      <c r="H50" s="45">
        <f>A50*C7+MAX(C12-A50,0)*C7-MAX(A50-C13,0)*C7-(C14-C15)*C7</f>
        <v>23160000</v>
      </c>
    </row>
    <row r="51" spans="1:8" ht="15" customHeight="1" x14ac:dyDescent="0.2">
      <c r="A51" s="40">
        <f>C8*(1+0.05)</f>
        <v>1.21065</v>
      </c>
      <c r="B51" s="41">
        <v>0.05</v>
      </c>
      <c r="C51" s="42">
        <f>A51*C7</f>
        <v>24213000</v>
      </c>
      <c r="D51" s="42">
        <f>C9*C7</f>
        <v>21870000</v>
      </c>
      <c r="E51" s="42">
        <f>(C7/(1+C11))*C8*(1+C10)</f>
        <v>23464956.097560979</v>
      </c>
      <c r="F51" s="42">
        <f>A51*C7+MAX(C12-A51,0)*C7-C14*C7</f>
        <v>23833000</v>
      </c>
      <c r="G51" s="42">
        <f>A51*C7-MAX(A51-C13,0)*C7-C15*C7</f>
        <v>22580000</v>
      </c>
      <c r="H51" s="42">
        <f>A51*C7+MAX(C12-A51,0)*C7-MAX(A51-C13,0)*C7-(C14-C15)*C7</f>
        <v>23160000</v>
      </c>
    </row>
    <row r="72" spans="1:4" ht="15" customHeight="1" x14ac:dyDescent="0.2">
      <c r="A72" s="11" t="s">
        <v>82</v>
      </c>
      <c r="B72" s="11"/>
      <c r="C72" s="11"/>
      <c r="D72" s="11"/>
    </row>
    <row r="73" spans="1:4" ht="15" customHeight="1" x14ac:dyDescent="0.2">
      <c r="A73" s="16" t="s">
        <v>83</v>
      </c>
      <c r="B73" s="16" t="s">
        <v>84</v>
      </c>
      <c r="C73" s="16" t="s">
        <v>85</v>
      </c>
      <c r="D73" s="16" t="s">
        <v>86</v>
      </c>
    </row>
    <row r="74" spans="1:4" ht="15" customHeight="1" x14ac:dyDescent="0.2">
      <c r="A74" s="17" t="s">
        <v>87</v>
      </c>
      <c r="B74" s="33">
        <f>C8*C7</f>
        <v>23060000</v>
      </c>
      <c r="C74" s="48" t="s">
        <v>88</v>
      </c>
      <c r="D74" s="20" t="s">
        <v>89</v>
      </c>
    </row>
    <row r="75" spans="1:4" ht="15" customHeight="1" x14ac:dyDescent="0.2">
      <c r="A75" s="17" t="s">
        <v>77</v>
      </c>
      <c r="B75" s="33">
        <f>C9*C7</f>
        <v>21870000</v>
      </c>
      <c r="C75" s="33">
        <f>B75-B74</f>
        <v>-1190000</v>
      </c>
      <c r="D75" s="20" t="s">
        <v>90</v>
      </c>
    </row>
    <row r="76" spans="1:4" ht="15" customHeight="1" x14ac:dyDescent="0.2">
      <c r="A76" s="17" t="s">
        <v>91</v>
      </c>
      <c r="B76" s="33">
        <f>(C7/(1+C11))*C8*(1+C10)</f>
        <v>23464956.097560979</v>
      </c>
      <c r="C76" s="33">
        <f>B76-B74</f>
        <v>404956.09756097943</v>
      </c>
      <c r="D76" s="20" t="s">
        <v>92</v>
      </c>
    </row>
    <row r="77" spans="1:4" ht="15" customHeight="1" x14ac:dyDescent="0.2">
      <c r="A77" s="17" t="s">
        <v>93</v>
      </c>
      <c r="B77" s="33">
        <f>C8*C7+MAX(C12-C8,0)*C7-C14*C7</f>
        <v>22680000</v>
      </c>
      <c r="C77" s="33">
        <f>B77-B74</f>
        <v>-380000</v>
      </c>
      <c r="D77" s="20" t="s">
        <v>94</v>
      </c>
    </row>
    <row r="78" spans="1:4" ht="15" customHeight="1" x14ac:dyDescent="0.2">
      <c r="A78" s="49" t="s">
        <v>81</v>
      </c>
      <c r="B78" s="27">
        <f>C8*C7+MAX(C12-C8,0)*C7-MAX(C8-C13,0)*C7-(C14-C15)*C7</f>
        <v>23160000</v>
      </c>
      <c r="C78" s="27">
        <f>B78-B74</f>
        <v>100000</v>
      </c>
      <c r="D78" s="20" t="s">
        <v>95</v>
      </c>
    </row>
    <row r="80" spans="1:4" ht="15" customHeight="1" x14ac:dyDescent="0.2">
      <c r="A80" s="8" t="s">
        <v>96</v>
      </c>
      <c r="B80" s="8"/>
      <c r="C80" s="8"/>
      <c r="D80" s="8"/>
    </row>
    <row r="81" spans="1:4" ht="15" customHeight="1" x14ac:dyDescent="0.2">
      <c r="A81" s="6" t="s">
        <v>97</v>
      </c>
      <c r="B81" s="6"/>
      <c r="C81" s="6"/>
      <c r="D81" s="6"/>
    </row>
    <row r="82" spans="1:4" ht="15" customHeight="1" x14ac:dyDescent="0.2">
      <c r="A82" s="6"/>
      <c r="B82" s="6"/>
      <c r="C82" s="6"/>
      <c r="D82" s="6"/>
    </row>
    <row r="83" spans="1:4" ht="15" customHeight="1" x14ac:dyDescent="0.2">
      <c r="A83" s="6"/>
      <c r="B83" s="6"/>
      <c r="C83" s="6"/>
      <c r="D83" s="6"/>
    </row>
  </sheetData>
  <mergeCells count="10">
    <mergeCell ref="A81:D83"/>
    <mergeCell ref="A23:E23"/>
    <mergeCell ref="A31:E31"/>
    <mergeCell ref="A39:H39"/>
    <mergeCell ref="A72:D72"/>
    <mergeCell ref="A80:D80"/>
    <mergeCell ref="A1:H1"/>
    <mergeCell ref="A2:H2"/>
    <mergeCell ref="A5:D5"/>
    <mergeCell ref="A18:D18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3"/>
  <sheetViews>
    <sheetView zoomScaleNormal="100" workbookViewId="0"/>
  </sheetViews>
  <sheetFormatPr defaultColWidth="8.7421875" defaultRowHeight="15" x14ac:dyDescent="0.2"/>
  <cols>
    <col min="1" max="1" width="32.015625" style="15" customWidth="1"/>
    <col min="2" max="6" width="18.0234375" style="15" customWidth="1"/>
    <col min="7" max="7" width="22.05859375" style="15" customWidth="1"/>
    <col min="8" max="8" width="27.98046875" style="15" customWidth="1"/>
  </cols>
  <sheetData>
    <row r="1" spans="1:8" ht="27.75" customHeight="1" x14ac:dyDescent="0.2">
      <c r="A1" s="14" t="s">
        <v>0</v>
      </c>
      <c r="B1" s="14"/>
      <c r="C1" s="14"/>
      <c r="D1" s="14"/>
      <c r="E1" s="14"/>
      <c r="F1" s="14"/>
      <c r="G1" s="14"/>
      <c r="H1" s="14"/>
    </row>
    <row r="2" spans="1:8" ht="18" customHeight="1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3" spans="1:8" ht="15.75" customHeight="1" x14ac:dyDescent="0.2">
      <c r="A3" s="12" t="s">
        <v>98</v>
      </c>
      <c r="B3" s="12"/>
      <c r="C3" s="12"/>
      <c r="D3" s="12"/>
      <c r="E3" s="12"/>
      <c r="F3" s="12"/>
      <c r="G3" s="12"/>
      <c r="H3" s="12"/>
    </row>
    <row r="5" spans="1:8" ht="15" customHeight="1" x14ac:dyDescent="0.2">
      <c r="A5" s="5" t="s">
        <v>2</v>
      </c>
      <c r="B5" s="5"/>
      <c r="C5" s="5"/>
      <c r="D5" s="5"/>
    </row>
    <row r="6" spans="1:8" ht="15" customHeight="1" x14ac:dyDescent="0.2">
      <c r="A6" s="16" t="s">
        <v>3</v>
      </c>
      <c r="B6" s="16" t="s">
        <v>4</v>
      </c>
      <c r="C6" s="16" t="s">
        <v>5</v>
      </c>
      <c r="D6" s="16" t="s">
        <v>6</v>
      </c>
    </row>
    <row r="7" spans="1:8" ht="15" customHeight="1" x14ac:dyDescent="0.2">
      <c r="A7" s="17" t="s">
        <v>7</v>
      </c>
      <c r="B7" s="18" t="s">
        <v>8</v>
      </c>
      <c r="C7" s="19"/>
      <c r="D7" s="20" t="s">
        <v>9</v>
      </c>
    </row>
    <row r="8" spans="1:8" ht="15" customHeight="1" x14ac:dyDescent="0.2">
      <c r="A8" s="17" t="s">
        <v>10</v>
      </c>
      <c r="B8" s="18" t="s">
        <v>11</v>
      </c>
      <c r="C8" s="21"/>
      <c r="D8" s="20" t="s">
        <v>12</v>
      </c>
    </row>
    <row r="9" spans="1:8" ht="15" customHeight="1" x14ac:dyDescent="0.2">
      <c r="A9" s="17" t="s">
        <v>13</v>
      </c>
      <c r="B9" s="18" t="s">
        <v>14</v>
      </c>
      <c r="C9" s="21"/>
      <c r="D9" s="20" t="s">
        <v>15</v>
      </c>
    </row>
    <row r="10" spans="1:8" ht="15" customHeight="1" x14ac:dyDescent="0.2">
      <c r="A10" s="17" t="s">
        <v>16</v>
      </c>
      <c r="B10" s="18" t="s">
        <v>17</v>
      </c>
      <c r="C10" s="22"/>
      <c r="D10" s="20" t="s">
        <v>18</v>
      </c>
    </row>
    <row r="11" spans="1:8" ht="15" customHeight="1" x14ac:dyDescent="0.2">
      <c r="A11" s="17" t="s">
        <v>19</v>
      </c>
      <c r="B11" s="18" t="s">
        <v>20</v>
      </c>
      <c r="C11" s="22"/>
      <c r="D11" s="20" t="s">
        <v>21</v>
      </c>
    </row>
    <row r="12" spans="1:8" ht="15" customHeight="1" x14ac:dyDescent="0.2">
      <c r="A12" s="17" t="s">
        <v>22</v>
      </c>
      <c r="B12" s="18" t="s">
        <v>23</v>
      </c>
      <c r="C12" s="21"/>
      <c r="D12" s="20" t="s">
        <v>24</v>
      </c>
    </row>
    <row r="13" spans="1:8" ht="15" customHeight="1" x14ac:dyDescent="0.2">
      <c r="A13" s="17" t="s">
        <v>25</v>
      </c>
      <c r="B13" s="18" t="s">
        <v>26</v>
      </c>
      <c r="C13" s="21"/>
      <c r="D13" s="20" t="s">
        <v>24</v>
      </c>
    </row>
    <row r="14" spans="1:8" ht="15" customHeight="1" x14ac:dyDescent="0.2">
      <c r="A14" s="17" t="s">
        <v>27</v>
      </c>
      <c r="B14" s="18" t="s">
        <v>28</v>
      </c>
      <c r="C14" s="21"/>
      <c r="D14" s="20" t="s">
        <v>15</v>
      </c>
    </row>
    <row r="15" spans="1:8" ht="15" customHeight="1" x14ac:dyDescent="0.2">
      <c r="A15" s="17" t="s">
        <v>29</v>
      </c>
      <c r="B15" s="18" t="s">
        <v>30</v>
      </c>
      <c r="C15" s="21"/>
      <c r="D15" s="20" t="s">
        <v>15</v>
      </c>
    </row>
    <row r="16" spans="1:8" ht="15" customHeight="1" x14ac:dyDescent="0.2">
      <c r="A16" s="17" t="s">
        <v>31</v>
      </c>
      <c r="B16" s="18" t="s">
        <v>32</v>
      </c>
      <c r="C16" s="23"/>
      <c r="D16" s="20" t="s">
        <v>33</v>
      </c>
    </row>
    <row r="18" spans="1:5" ht="15" customHeight="1" x14ac:dyDescent="0.2">
      <c r="A18" s="4" t="s">
        <v>34</v>
      </c>
      <c r="B18" s="4"/>
      <c r="C18" s="4"/>
      <c r="D18" s="4"/>
    </row>
    <row r="19" spans="1:5" ht="15" customHeight="1" x14ac:dyDescent="0.2">
      <c r="A19" s="17" t="s">
        <v>35</v>
      </c>
      <c r="C19" s="24"/>
      <c r="D19" s="20" t="s">
        <v>36</v>
      </c>
    </row>
    <row r="20" spans="1:5" ht="15" customHeight="1" x14ac:dyDescent="0.2">
      <c r="A20" s="17" t="s">
        <v>37</v>
      </c>
      <c r="C20" s="25"/>
      <c r="D20" s="20" t="s">
        <v>36</v>
      </c>
    </row>
    <row r="21" spans="1:5" ht="15" customHeight="1" x14ac:dyDescent="0.2">
      <c r="A21" s="26" t="s">
        <v>38</v>
      </c>
      <c r="C21" s="27"/>
      <c r="D21" s="20"/>
    </row>
    <row r="23" spans="1:5" ht="15" customHeight="1" x14ac:dyDescent="0.2">
      <c r="A23" s="3" t="s">
        <v>40</v>
      </c>
      <c r="B23" s="3"/>
      <c r="C23" s="3"/>
      <c r="D23" s="3"/>
      <c r="E23" s="3"/>
    </row>
    <row r="24" spans="1:5" ht="15" customHeight="1" x14ac:dyDescent="0.2">
      <c r="A24" s="16" t="s">
        <v>41</v>
      </c>
      <c r="B24" s="16" t="s">
        <v>42</v>
      </c>
      <c r="C24" s="16" t="s">
        <v>43</v>
      </c>
      <c r="D24" s="16" t="s">
        <v>44</v>
      </c>
      <c r="E24" s="16" t="s">
        <v>45</v>
      </c>
    </row>
    <row r="25" spans="1:5" ht="15" customHeight="1" x14ac:dyDescent="0.2">
      <c r="A25" s="28" t="s">
        <v>46</v>
      </c>
      <c r="B25" s="29" t="s">
        <v>47</v>
      </c>
      <c r="C25" s="30"/>
      <c r="D25" s="30"/>
      <c r="E25" s="20" t="s">
        <v>48</v>
      </c>
    </row>
    <row r="26" spans="1:5" ht="15" customHeight="1" x14ac:dyDescent="0.2">
      <c r="A26" s="28" t="s">
        <v>49</v>
      </c>
      <c r="B26" s="29" t="s">
        <v>50</v>
      </c>
      <c r="C26" s="31"/>
      <c r="D26" s="31"/>
      <c r="E26" s="20" t="s">
        <v>51</v>
      </c>
    </row>
    <row r="27" spans="1:5" ht="15" customHeight="1" x14ac:dyDescent="0.2">
      <c r="A27" s="28" t="s">
        <v>52</v>
      </c>
      <c r="B27" s="29" t="s">
        <v>53</v>
      </c>
      <c r="C27" s="31"/>
      <c r="D27" s="31"/>
      <c r="E27" s="20" t="s">
        <v>54</v>
      </c>
    </row>
    <row r="28" spans="1:5" ht="15" customHeight="1" x14ac:dyDescent="0.2">
      <c r="A28" s="32" t="s">
        <v>55</v>
      </c>
      <c r="C28" s="27"/>
      <c r="D28" s="33"/>
      <c r="E28" s="20" t="s">
        <v>56</v>
      </c>
    </row>
    <row r="29" spans="1:5" ht="15" customHeight="1" x14ac:dyDescent="0.2">
      <c r="A29" s="17" t="s">
        <v>57</v>
      </c>
      <c r="C29" s="34"/>
      <c r="E29" s="35" t="s">
        <v>58</v>
      </c>
    </row>
    <row r="31" spans="1:5" ht="15" customHeight="1" x14ac:dyDescent="0.2">
      <c r="A31" s="2" t="s">
        <v>59</v>
      </c>
      <c r="B31" s="2"/>
      <c r="C31" s="2"/>
      <c r="D31" s="2"/>
      <c r="E31" s="2"/>
    </row>
    <row r="32" spans="1:5" ht="15" customHeight="1" x14ac:dyDescent="0.2">
      <c r="A32" s="16" t="s">
        <v>60</v>
      </c>
      <c r="B32" s="16" t="s">
        <v>61</v>
      </c>
      <c r="C32" s="16" t="s">
        <v>62</v>
      </c>
      <c r="D32" s="16" t="s">
        <v>63</v>
      </c>
      <c r="E32" s="16" t="s">
        <v>45</v>
      </c>
    </row>
    <row r="33" spans="1:8" ht="15" customHeight="1" x14ac:dyDescent="0.2">
      <c r="A33" s="36" t="s">
        <v>64</v>
      </c>
      <c r="B33" s="37"/>
      <c r="C33" s="37"/>
      <c r="D33" s="37"/>
      <c r="E33" s="20" t="s">
        <v>65</v>
      </c>
    </row>
    <row r="34" spans="1:8" ht="15" customHeight="1" x14ac:dyDescent="0.2">
      <c r="A34" s="17" t="s">
        <v>66</v>
      </c>
      <c r="B34" s="38"/>
      <c r="C34" s="38"/>
      <c r="D34" s="38"/>
      <c r="E34" s="20" t="s">
        <v>67</v>
      </c>
    </row>
    <row r="35" spans="1:8" ht="15" customHeight="1" x14ac:dyDescent="0.2">
      <c r="A35" s="17" t="s">
        <v>68</v>
      </c>
      <c r="B35" s="38"/>
      <c r="C35" s="38"/>
      <c r="D35" s="38"/>
      <c r="E35" s="20" t="s">
        <v>69</v>
      </c>
    </row>
    <row r="36" spans="1:8" ht="15" customHeight="1" x14ac:dyDescent="0.2">
      <c r="A36" s="17" t="s">
        <v>70</v>
      </c>
      <c r="B36" s="38"/>
      <c r="C36" s="38"/>
      <c r="D36" s="38"/>
    </row>
    <row r="37" spans="1:8" ht="15" customHeight="1" x14ac:dyDescent="0.2">
      <c r="A37" s="39" t="s">
        <v>71</v>
      </c>
      <c r="B37" s="27"/>
      <c r="C37" s="27"/>
      <c r="D37" s="27"/>
      <c r="E37" s="20"/>
    </row>
    <row r="39" spans="1:8" ht="15" customHeight="1" x14ac:dyDescent="0.2">
      <c r="A39" s="1" t="s">
        <v>73</v>
      </c>
      <c r="B39" s="1"/>
      <c r="C39" s="1"/>
      <c r="D39" s="1"/>
      <c r="E39" s="1"/>
      <c r="F39" s="1"/>
      <c r="G39" s="1"/>
      <c r="H39" s="1"/>
    </row>
    <row r="40" spans="1:8" ht="15" customHeight="1" x14ac:dyDescent="0.2">
      <c r="A40" s="16" t="s">
        <v>74</v>
      </c>
      <c r="B40" s="16" t="s">
        <v>75</v>
      </c>
      <c r="C40" s="16" t="s">
        <v>76</v>
      </c>
      <c r="D40" s="16" t="s">
        <v>77</v>
      </c>
      <c r="E40" s="16" t="s">
        <v>78</v>
      </c>
      <c r="F40" s="16" t="s">
        <v>79</v>
      </c>
      <c r="G40" s="16" t="s">
        <v>80</v>
      </c>
      <c r="H40" s="16" t="s">
        <v>81</v>
      </c>
    </row>
    <row r="41" spans="1:8" ht="15" customHeight="1" x14ac:dyDescent="0.2">
      <c r="A41" s="40"/>
      <c r="B41" s="41"/>
      <c r="C41" s="42"/>
      <c r="D41" s="42"/>
      <c r="E41" s="42"/>
      <c r="F41" s="42"/>
      <c r="G41" s="42"/>
      <c r="H41" s="42"/>
    </row>
    <row r="42" spans="1:8" ht="15" customHeight="1" x14ac:dyDescent="0.2">
      <c r="A42" s="43"/>
      <c r="B42" s="44"/>
      <c r="C42" s="45"/>
      <c r="D42" s="45"/>
      <c r="E42" s="45"/>
      <c r="F42" s="45"/>
      <c r="G42" s="45"/>
      <c r="H42" s="45"/>
    </row>
    <row r="43" spans="1:8" ht="15" customHeight="1" x14ac:dyDescent="0.2">
      <c r="A43" s="40"/>
      <c r="B43" s="41"/>
      <c r="C43" s="42"/>
      <c r="D43" s="42"/>
      <c r="E43" s="42"/>
      <c r="F43" s="42"/>
      <c r="G43" s="42"/>
      <c r="H43" s="42"/>
    </row>
    <row r="44" spans="1:8" ht="15" customHeight="1" x14ac:dyDescent="0.2">
      <c r="A44" s="43"/>
      <c r="B44" s="44"/>
      <c r="C44" s="45"/>
      <c r="D44" s="45"/>
      <c r="E44" s="45"/>
      <c r="F44" s="45"/>
      <c r="G44" s="45"/>
      <c r="H44" s="45"/>
    </row>
    <row r="45" spans="1:8" ht="15" customHeight="1" x14ac:dyDescent="0.2">
      <c r="A45" s="40"/>
      <c r="B45" s="41"/>
      <c r="C45" s="42"/>
      <c r="D45" s="42"/>
      <c r="E45" s="42"/>
      <c r="F45" s="42"/>
      <c r="G45" s="42"/>
      <c r="H45" s="42"/>
    </row>
    <row r="46" spans="1:8" ht="15" customHeight="1" x14ac:dyDescent="0.2">
      <c r="A46" s="21"/>
      <c r="B46" s="46"/>
      <c r="C46" s="47"/>
      <c r="D46" s="47"/>
      <c r="E46" s="47"/>
      <c r="F46" s="47"/>
      <c r="G46" s="47"/>
      <c r="H46" s="47"/>
    </row>
    <row r="47" spans="1:8" ht="15" customHeight="1" x14ac:dyDescent="0.2">
      <c r="A47" s="40"/>
      <c r="B47" s="41"/>
      <c r="C47" s="42"/>
      <c r="D47" s="42"/>
      <c r="E47" s="42"/>
      <c r="F47" s="42"/>
      <c r="G47" s="42"/>
      <c r="H47" s="42"/>
    </row>
    <row r="48" spans="1:8" ht="15" customHeight="1" x14ac:dyDescent="0.2">
      <c r="A48" s="43"/>
      <c r="B48" s="44"/>
      <c r="C48" s="45"/>
      <c r="D48" s="45"/>
      <c r="E48" s="45"/>
      <c r="F48" s="45"/>
      <c r="G48" s="45"/>
      <c r="H48" s="45"/>
    </row>
    <row r="49" spans="1:8" ht="15" customHeight="1" x14ac:dyDescent="0.2">
      <c r="A49" s="40"/>
      <c r="B49" s="41"/>
      <c r="C49" s="42"/>
      <c r="D49" s="42"/>
      <c r="E49" s="42"/>
      <c r="F49" s="42"/>
      <c r="G49" s="42"/>
      <c r="H49" s="42"/>
    </row>
    <row r="50" spans="1:8" ht="15" customHeight="1" x14ac:dyDescent="0.2">
      <c r="A50" s="43"/>
      <c r="B50" s="44"/>
      <c r="C50" s="45"/>
      <c r="D50" s="45"/>
      <c r="E50" s="45"/>
      <c r="F50" s="45"/>
      <c r="G50" s="45"/>
      <c r="H50" s="45"/>
    </row>
    <row r="51" spans="1:8" ht="15" customHeight="1" x14ac:dyDescent="0.2">
      <c r="A51" s="40"/>
      <c r="B51" s="41"/>
      <c r="C51" s="42"/>
      <c r="D51" s="42"/>
      <c r="E51" s="42"/>
      <c r="F51" s="42"/>
      <c r="G51" s="42"/>
      <c r="H51" s="42"/>
    </row>
    <row r="72" spans="1:4" ht="15" customHeight="1" x14ac:dyDescent="0.2">
      <c r="A72" s="5" t="s">
        <v>82</v>
      </c>
      <c r="B72" s="5"/>
      <c r="C72" s="5"/>
      <c r="D72" s="5"/>
    </row>
    <row r="73" spans="1:4" ht="15" customHeight="1" x14ac:dyDescent="0.2">
      <c r="A73" s="16" t="s">
        <v>83</v>
      </c>
      <c r="B73" s="16" t="s">
        <v>84</v>
      </c>
      <c r="C73" s="16" t="s">
        <v>85</v>
      </c>
      <c r="D73" s="16" t="s">
        <v>86</v>
      </c>
    </row>
    <row r="74" spans="1:4" ht="15" customHeight="1" x14ac:dyDescent="0.2">
      <c r="A74" s="17" t="s">
        <v>87</v>
      </c>
      <c r="B74" s="33"/>
      <c r="C74" s="48" t="s">
        <v>88</v>
      </c>
      <c r="D74" s="20" t="s">
        <v>89</v>
      </c>
    </row>
    <row r="75" spans="1:4" ht="15" customHeight="1" x14ac:dyDescent="0.2">
      <c r="A75" s="17" t="s">
        <v>77</v>
      </c>
      <c r="B75" s="33"/>
      <c r="C75" s="33"/>
      <c r="D75" s="20" t="s">
        <v>90</v>
      </c>
    </row>
    <row r="76" spans="1:4" ht="15" customHeight="1" x14ac:dyDescent="0.2">
      <c r="A76" s="17" t="s">
        <v>91</v>
      </c>
      <c r="B76" s="33"/>
      <c r="C76" s="33"/>
      <c r="D76" s="20" t="s">
        <v>92</v>
      </c>
    </row>
    <row r="77" spans="1:4" ht="15" customHeight="1" x14ac:dyDescent="0.2">
      <c r="A77" s="17" t="s">
        <v>93</v>
      </c>
      <c r="B77" s="33"/>
      <c r="C77" s="33"/>
      <c r="D77" s="20" t="s">
        <v>94</v>
      </c>
    </row>
    <row r="78" spans="1:4" ht="15" customHeight="1" x14ac:dyDescent="0.2">
      <c r="A78" s="49" t="s">
        <v>81</v>
      </c>
      <c r="B78" s="27"/>
      <c r="C78" s="27"/>
      <c r="D78" s="20" t="s">
        <v>95</v>
      </c>
    </row>
    <row r="80" spans="1:4" ht="15" customHeight="1" x14ac:dyDescent="0.2">
      <c r="A80" s="2" t="s">
        <v>96</v>
      </c>
      <c r="B80" s="2"/>
      <c r="C80" s="2"/>
      <c r="D80" s="2"/>
    </row>
    <row r="81" spans="1:4" ht="15" customHeight="1" x14ac:dyDescent="0.2">
      <c r="A81" s="54" t="s">
        <v>97</v>
      </c>
      <c r="B81" s="54"/>
      <c r="C81" s="54"/>
      <c r="D81" s="54"/>
    </row>
    <row r="82" spans="1:4" ht="15" customHeight="1" x14ac:dyDescent="0.2">
      <c r="A82" s="54"/>
      <c r="B82" s="54"/>
      <c r="C82" s="54"/>
      <c r="D82" s="54"/>
    </row>
    <row r="83" spans="1:4" ht="15" customHeight="1" x14ac:dyDescent="0.2">
      <c r="A83" s="54"/>
      <c r="B83" s="54"/>
      <c r="C83" s="54"/>
      <c r="D83" s="54"/>
    </row>
  </sheetData>
  <mergeCells count="11">
    <mergeCell ref="A81:D83"/>
    <mergeCell ref="A23:E23"/>
    <mergeCell ref="A31:E31"/>
    <mergeCell ref="A39:H39"/>
    <mergeCell ref="A72:D72"/>
    <mergeCell ref="A80:D80"/>
    <mergeCell ref="A1:H1"/>
    <mergeCell ref="A2:H2"/>
    <mergeCell ref="A3:H3"/>
    <mergeCell ref="A5:D5"/>
    <mergeCell ref="A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"/>
  <sheetViews>
    <sheetView zoomScaleNormal="100" workbookViewId="0">
      <pane ySplit="2" topLeftCell="A3" activePane="bottomLeft" state="frozen"/>
      <selection pane="bottomLeft"/>
    </sheetView>
  </sheetViews>
  <sheetFormatPr defaultColWidth="8.7421875" defaultRowHeight="15" x14ac:dyDescent="0.2"/>
  <cols>
    <col min="1" max="1" width="27.98046875" style="15" customWidth="1"/>
    <col min="2" max="2" width="59.99609375" style="15" customWidth="1"/>
  </cols>
  <sheetData>
    <row r="1" spans="1:2" ht="15" customHeight="1" x14ac:dyDescent="0.2">
      <c r="A1" s="11" t="s">
        <v>99</v>
      </c>
      <c r="B1" s="11"/>
    </row>
    <row r="2" spans="1:2" ht="15" customHeight="1" x14ac:dyDescent="0.2">
      <c r="A2" s="16" t="s">
        <v>60</v>
      </c>
      <c r="B2" s="16" t="s">
        <v>100</v>
      </c>
    </row>
    <row r="3" spans="1:2" ht="15" customHeight="1" x14ac:dyDescent="0.2">
      <c r="A3" s="50" t="s">
        <v>101</v>
      </c>
      <c r="B3" s="51" t="s">
        <v>102</v>
      </c>
    </row>
    <row r="4" spans="1:2" ht="15" customHeight="1" x14ac:dyDescent="0.2">
      <c r="A4" s="52" t="s">
        <v>103</v>
      </c>
      <c r="B4" s="53" t="s">
        <v>104</v>
      </c>
    </row>
    <row r="5" spans="1:2" ht="15" customHeight="1" x14ac:dyDescent="0.2">
      <c r="A5" s="50" t="s">
        <v>105</v>
      </c>
      <c r="B5" s="51" t="s">
        <v>106</v>
      </c>
    </row>
    <row r="6" spans="1:2" ht="15" customHeight="1" x14ac:dyDescent="0.2">
      <c r="A6" s="52" t="s">
        <v>107</v>
      </c>
      <c r="B6" s="53" t="s">
        <v>108</v>
      </c>
    </row>
    <row r="7" spans="1:2" ht="15" customHeight="1" x14ac:dyDescent="0.2">
      <c r="A7" s="50" t="s">
        <v>109</v>
      </c>
      <c r="B7" s="51" t="s">
        <v>110</v>
      </c>
    </row>
    <row r="8" spans="1:2" ht="15" customHeight="1" x14ac:dyDescent="0.2">
      <c r="A8" s="52" t="s">
        <v>111</v>
      </c>
      <c r="B8" s="53" t="s">
        <v>112</v>
      </c>
    </row>
    <row r="9" spans="1:2" ht="15" customHeight="1" x14ac:dyDescent="0.2">
      <c r="A9" s="50" t="s">
        <v>113</v>
      </c>
      <c r="B9" s="51" t="s">
        <v>114</v>
      </c>
    </row>
    <row r="10" spans="1:2" ht="15" customHeight="1" x14ac:dyDescent="0.2">
      <c r="A10" s="52" t="s">
        <v>27</v>
      </c>
      <c r="B10" s="53" t="s">
        <v>115</v>
      </c>
    </row>
    <row r="11" spans="1:2" ht="15" customHeight="1" x14ac:dyDescent="0.2">
      <c r="A11" s="50" t="s">
        <v>29</v>
      </c>
      <c r="B11" s="51" t="s">
        <v>116</v>
      </c>
    </row>
    <row r="12" spans="1:2" ht="15" customHeight="1" x14ac:dyDescent="0.2">
      <c r="A12" s="52" t="s">
        <v>117</v>
      </c>
      <c r="B12" s="53" t="s">
        <v>118</v>
      </c>
    </row>
    <row r="13" spans="1:2" ht="15" customHeight="1" x14ac:dyDescent="0.2">
      <c r="A13" s="50" t="s">
        <v>119</v>
      </c>
      <c r="B13" s="51" t="s">
        <v>120</v>
      </c>
    </row>
    <row r="14" spans="1:2" ht="15" customHeight="1" x14ac:dyDescent="0.2">
      <c r="A14" s="52" t="s">
        <v>121</v>
      </c>
      <c r="B14" s="53" t="s">
        <v>122</v>
      </c>
    </row>
    <row r="15" spans="1:2" ht="15" customHeight="1" x14ac:dyDescent="0.2">
      <c r="A15" s="50" t="s">
        <v>123</v>
      </c>
      <c r="B15" s="51" t="s">
        <v>124</v>
      </c>
    </row>
    <row r="16" spans="1:2" ht="15" customHeight="1" x14ac:dyDescent="0.2">
      <c r="A16" s="52" t="s">
        <v>125</v>
      </c>
      <c r="B16" s="53" t="s">
        <v>126</v>
      </c>
    </row>
    <row r="17" spans="1:2" ht="15" customHeight="1" x14ac:dyDescent="0.2">
      <c r="A17" s="50" t="s">
        <v>127</v>
      </c>
      <c r="B17" s="51" t="s">
        <v>128</v>
      </c>
    </row>
    <row r="18" spans="1:2" ht="15" customHeight="1" x14ac:dyDescent="0.2">
      <c r="A18" s="52" t="s">
        <v>129</v>
      </c>
      <c r="B18" s="53" t="s">
        <v>130</v>
      </c>
    </row>
    <row r="19" spans="1:2" ht="15" customHeight="1" x14ac:dyDescent="0.2">
      <c r="A19" s="50" t="s">
        <v>131</v>
      </c>
      <c r="B19" s="51" t="s">
        <v>132</v>
      </c>
    </row>
    <row r="20" spans="1:2" ht="15" customHeight="1" x14ac:dyDescent="0.2">
      <c r="A20" s="52" t="s">
        <v>133</v>
      </c>
      <c r="B20" s="53" t="s">
        <v>134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iOS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FX Hedge Model</vt:lpstr>
      <vt:lpstr>Blank Template</vt:lpstr>
      <vt:lpstr>Notes &amp; Assumptions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2</cp:revision>
  <dcterms:created xsi:type="dcterms:W3CDTF">2026-04-18T01:39:36Z</dcterms:created>
  <dcterms:modified xsi:type="dcterms:W3CDTF">2026-04-18T01:40:08Z</dcterms:modified>
  <dc:language>en-US</dc:language>
</cp:coreProperties>
</file>